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al Kamal Project\Bihar Monsoon Report\data\2018\"/>
    </mc:Choice>
  </mc:AlternateContent>
  <xr:revisionPtr revIDLastSave="0" documentId="13_ncr:9_{9D92D14E-8A70-49CF-B0BB-7F1839EC883A}" xr6:coauthVersionLast="47" xr6:coauthVersionMax="47" xr10:uidLastSave="{00000000-0000-0000-0000-000000000000}"/>
  <bookViews>
    <workbookView xWindow="14295" yWindow="0" windowWidth="14610" windowHeight="15585" activeTab="4" xr2:uid="{00000000-000D-0000-FFFF-FFFF00000000}"/>
  </bookViews>
  <sheets>
    <sheet name="june" sheetId="1" r:id="rId1"/>
    <sheet name="july" sheetId="2" r:id="rId2"/>
    <sheet name="august" sheetId="3" r:id="rId3"/>
    <sheet name="september" sheetId="4" r:id="rId4"/>
    <sheet name="overall_monsoon" sheetId="6" r:id="rId5"/>
    <sheet name="Dat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5" l="1"/>
  <c r="I3" i="5"/>
  <c r="J3" i="5"/>
  <c r="K3" i="5"/>
  <c r="H4" i="5"/>
  <c r="I4" i="5"/>
  <c r="J4" i="5"/>
  <c r="K4" i="5"/>
  <c r="L4" i="5" s="1"/>
  <c r="H5" i="5"/>
  <c r="I5" i="5"/>
  <c r="J5" i="5"/>
  <c r="K5" i="5"/>
  <c r="H6" i="5"/>
  <c r="I6" i="5"/>
  <c r="J6" i="5"/>
  <c r="K6" i="5"/>
  <c r="H7" i="5"/>
  <c r="I7" i="5"/>
  <c r="J7" i="5"/>
  <c r="K7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L14" i="5" s="1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L24" i="5" s="1"/>
  <c r="H25" i="5"/>
  <c r="I25" i="5"/>
  <c r="J25" i="5"/>
  <c r="K25" i="5"/>
  <c r="H26" i="5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H30" i="5"/>
  <c r="I30" i="5"/>
  <c r="J30" i="5"/>
  <c r="K30" i="5"/>
  <c r="L30" i="5" s="1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K2" i="5"/>
  <c r="J2" i="5"/>
  <c r="I2" i="5"/>
  <c r="H2" i="5"/>
  <c r="G2" i="5"/>
  <c r="D3" i="5"/>
  <c r="E3" i="5"/>
  <c r="F3" i="5"/>
  <c r="D4" i="5"/>
  <c r="E4" i="5"/>
  <c r="F4" i="5"/>
  <c r="D5" i="5"/>
  <c r="G5" i="5" s="1"/>
  <c r="E5" i="5"/>
  <c r="F5" i="5"/>
  <c r="D6" i="5"/>
  <c r="E6" i="5"/>
  <c r="F6" i="5"/>
  <c r="D7" i="5"/>
  <c r="E7" i="5"/>
  <c r="F7" i="5"/>
  <c r="D8" i="5"/>
  <c r="E8" i="5"/>
  <c r="F8" i="5"/>
  <c r="D9" i="5"/>
  <c r="E9" i="5"/>
  <c r="F9" i="5"/>
  <c r="D10" i="5"/>
  <c r="E10" i="5"/>
  <c r="F10" i="5"/>
  <c r="D11" i="5"/>
  <c r="E11" i="5"/>
  <c r="F11" i="5"/>
  <c r="D12" i="5"/>
  <c r="E12" i="5"/>
  <c r="F12" i="5"/>
  <c r="D13" i="5"/>
  <c r="E13" i="5"/>
  <c r="F13" i="5"/>
  <c r="D14" i="5"/>
  <c r="E14" i="5"/>
  <c r="F14" i="5"/>
  <c r="D15" i="5"/>
  <c r="E15" i="5"/>
  <c r="F15" i="5"/>
  <c r="D16" i="5"/>
  <c r="E16" i="5"/>
  <c r="F16" i="5"/>
  <c r="D17" i="5"/>
  <c r="E17" i="5"/>
  <c r="F17" i="5"/>
  <c r="D18" i="5"/>
  <c r="E18" i="5"/>
  <c r="F18" i="5"/>
  <c r="D19" i="5"/>
  <c r="E19" i="5"/>
  <c r="F19" i="5"/>
  <c r="D20" i="5"/>
  <c r="E20" i="5"/>
  <c r="F20" i="5"/>
  <c r="D21" i="5"/>
  <c r="E21" i="5"/>
  <c r="F21" i="5"/>
  <c r="D22" i="5"/>
  <c r="E22" i="5"/>
  <c r="F22" i="5"/>
  <c r="D23" i="5"/>
  <c r="E23" i="5"/>
  <c r="F23" i="5"/>
  <c r="D24" i="5"/>
  <c r="E24" i="5"/>
  <c r="F24" i="5"/>
  <c r="D25" i="5"/>
  <c r="E25" i="5"/>
  <c r="F25" i="5"/>
  <c r="D26" i="5"/>
  <c r="E26" i="5"/>
  <c r="F26" i="5"/>
  <c r="D27" i="5"/>
  <c r="E27" i="5"/>
  <c r="F27" i="5"/>
  <c r="D28" i="5"/>
  <c r="E28" i="5"/>
  <c r="F28" i="5"/>
  <c r="D29" i="5"/>
  <c r="E29" i="5"/>
  <c r="F29" i="5"/>
  <c r="D30" i="5"/>
  <c r="E30" i="5"/>
  <c r="F30" i="5"/>
  <c r="D31" i="5"/>
  <c r="E31" i="5"/>
  <c r="F31" i="5"/>
  <c r="D32" i="5"/>
  <c r="E32" i="5"/>
  <c r="F32" i="5"/>
  <c r="D33" i="5"/>
  <c r="E33" i="5"/>
  <c r="F33" i="5"/>
  <c r="D34" i="5"/>
  <c r="E34" i="5"/>
  <c r="F34" i="5"/>
  <c r="D35" i="5"/>
  <c r="E35" i="5"/>
  <c r="F35" i="5"/>
  <c r="D36" i="5"/>
  <c r="E36" i="5"/>
  <c r="F36" i="5"/>
  <c r="D37" i="5"/>
  <c r="E37" i="5"/>
  <c r="F37" i="5"/>
  <c r="D38" i="5"/>
  <c r="E38" i="5"/>
  <c r="F38" i="5"/>
  <c r="D39" i="5"/>
  <c r="E39" i="5"/>
  <c r="F39" i="5"/>
  <c r="F2" i="5"/>
  <c r="E2" i="5"/>
  <c r="D2" i="5"/>
  <c r="C3" i="5"/>
  <c r="C4" i="5"/>
  <c r="C5" i="5"/>
  <c r="C6" i="5"/>
  <c r="C7" i="5"/>
  <c r="C8" i="5"/>
  <c r="G8" i="5" s="1"/>
  <c r="C9" i="5"/>
  <c r="C10" i="5"/>
  <c r="C11" i="5"/>
  <c r="C12" i="5"/>
  <c r="G12" i="5" s="1"/>
  <c r="C13" i="5"/>
  <c r="G13" i="5" s="1"/>
  <c r="C14" i="5"/>
  <c r="G14" i="5" s="1"/>
  <c r="C15" i="5"/>
  <c r="G15" i="5" s="1"/>
  <c r="C16" i="5"/>
  <c r="C17" i="5"/>
  <c r="C18" i="5"/>
  <c r="C19" i="5"/>
  <c r="G19" i="5" s="1"/>
  <c r="C20" i="5"/>
  <c r="C21" i="5"/>
  <c r="C22" i="5"/>
  <c r="C23" i="5"/>
  <c r="C24" i="5"/>
  <c r="C25" i="5"/>
  <c r="C26" i="5"/>
  <c r="G26" i="5" s="1"/>
  <c r="C27" i="5"/>
  <c r="G27" i="5" s="1"/>
  <c r="C28" i="5"/>
  <c r="G28" i="5" s="1"/>
  <c r="C29" i="5"/>
  <c r="C30" i="5"/>
  <c r="C31" i="5"/>
  <c r="C32" i="5"/>
  <c r="G32" i="5" s="1"/>
  <c r="C33" i="5"/>
  <c r="G33" i="5" s="1"/>
  <c r="C34" i="5"/>
  <c r="G34" i="5" s="1"/>
  <c r="C35" i="5"/>
  <c r="C36" i="5"/>
  <c r="C37" i="5"/>
  <c r="C38" i="5"/>
  <c r="C39" i="5"/>
  <c r="G39" i="5" s="1"/>
  <c r="C2" i="5"/>
  <c r="L23" i="5"/>
  <c r="L28" i="5"/>
  <c r="L29" i="5"/>
  <c r="L33" i="5"/>
  <c r="L34" i="5"/>
  <c r="G24" i="5" l="1"/>
  <c r="L31" i="5"/>
  <c r="G29" i="5"/>
  <c r="G9" i="5"/>
  <c r="L9" i="5"/>
  <c r="G4" i="5"/>
  <c r="L11" i="5"/>
  <c r="G25" i="5"/>
  <c r="L16" i="5"/>
  <c r="L15" i="5"/>
  <c r="L10" i="5"/>
  <c r="G10" i="5"/>
  <c r="L37" i="5"/>
  <c r="L27" i="5"/>
  <c r="L12" i="5"/>
  <c r="L6" i="5"/>
  <c r="L32" i="5"/>
  <c r="L22" i="5"/>
  <c r="L17" i="5"/>
  <c r="L7" i="5"/>
  <c r="L36" i="5"/>
  <c r="L26" i="5"/>
  <c r="L21" i="5"/>
  <c r="L35" i="5"/>
  <c r="L25" i="5"/>
  <c r="L20" i="5"/>
  <c r="L5" i="5"/>
  <c r="L39" i="5"/>
  <c r="L19" i="5"/>
  <c r="L13" i="5"/>
  <c r="L8" i="5"/>
  <c r="L3" i="5"/>
  <c r="G7" i="5"/>
  <c r="G6" i="5"/>
  <c r="L38" i="5"/>
  <c r="L18" i="5"/>
  <c r="L2" i="5"/>
  <c r="G23" i="5"/>
  <c r="G3" i="5"/>
  <c r="G22" i="5"/>
  <c r="G21" i="5"/>
  <c r="G20" i="5"/>
  <c r="G38" i="5"/>
  <c r="G18" i="5"/>
  <c r="G37" i="5"/>
  <c r="G17" i="5"/>
  <c r="G36" i="5"/>
  <c r="G16" i="5"/>
  <c r="G31" i="5"/>
  <c r="G11" i="5"/>
  <c r="G35" i="5"/>
  <c r="G30" i="5"/>
</calcChain>
</file>

<file path=xl/sharedStrings.xml><?xml version="1.0" encoding="utf-8"?>
<sst xmlns="http://schemas.openxmlformats.org/spreadsheetml/2006/main" count="341" uniqueCount="105">
  <si>
    <t>S. No.</t>
  </si>
  <si>
    <t>DISTRICT NAME</t>
  </si>
  <si>
    <t>Actual R/F (mm)</t>
  </si>
  <si>
    <t>Normal R/F (mm)</t>
  </si>
  <si>
    <t>Departure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</si>
  <si>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</si>
  <si>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</si>
  <si>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</si>
  <si>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</si>
  <si>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</si>
  <si>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</si>
  <si>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</si>
  <si>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</si>
  <si>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</si>
  <si>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</si>
  <si>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</si>
  <si>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</si>
  <si>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</si>
  <si>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JAHANABAD</t>
  </si>
  <si>
    <t>JAMUI</t>
  </si>
  <si>
    <t>KATIHAR</t>
  </si>
  <si>
    <t>KHAGARIA</t>
  </si>
  <si>
    <t>KISHANGANJ</t>
  </si>
  <si>
    <t>LAKHISARAI</t>
  </si>
  <si>
    <t>MADHEPURA</t>
  </si>
  <si>
    <t>MADHUBANI</t>
  </si>
  <si>
    <t>MONGHYR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</si>
  <si>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</si>
  <si>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</si>
  <si>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</si>
  <si>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</si>
  <si>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</si>
  <si>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</si>
  <si>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</si>
  <si>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</si>
  <si>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</si>
  <si>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</si>
  <si>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</si>
  <si>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</si>
  <si>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</si>
  <si>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</si>
  <si>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</si>
  <si>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</si>
  <si>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Jul</t>
  </si>
  <si>
    <t>Aug</t>
  </si>
  <si>
    <t>Sep</t>
  </si>
  <si>
    <t>Jun</t>
  </si>
  <si>
    <t>Monsoon Actual R/F (mm)</t>
  </si>
  <si>
    <t>Monsoon Normal R/F (mm)</t>
  </si>
  <si>
    <t>-67</t>
  </si>
  <si>
    <t>-72</t>
  </si>
  <si>
    <t>-34</t>
  </si>
  <si>
    <t>-54</t>
  </si>
  <si>
    <t>-64</t>
  </si>
  <si>
    <t>-27</t>
  </si>
  <si>
    <t>-10</t>
  </si>
  <si>
    <t>-52</t>
  </si>
  <si>
    <t>-49</t>
  </si>
  <si>
    <t>-11</t>
  </si>
  <si>
    <t>-33</t>
  </si>
  <si>
    <t>-50</t>
  </si>
  <si>
    <t>-20</t>
  </si>
  <si>
    <t>-48</t>
  </si>
  <si>
    <t>-62</t>
  </si>
  <si>
    <t>-43</t>
  </si>
  <si>
    <t>-32</t>
  </si>
  <si>
    <t>-56</t>
  </si>
  <si>
    <t>-57</t>
  </si>
  <si>
    <t>9</t>
  </si>
  <si>
    <t>59</t>
  </si>
  <si>
    <t>18</t>
  </si>
  <si>
    <t>-39</t>
  </si>
  <si>
    <t>-13</t>
  </si>
  <si>
    <t>-86</t>
  </si>
  <si>
    <t>-28</t>
  </si>
  <si>
    <t>1</t>
  </si>
  <si>
    <t>5</t>
  </si>
  <si>
    <t>-66</t>
  </si>
  <si>
    <t>-68</t>
  </si>
  <si>
    <t>-23</t>
  </si>
  <si>
    <t>-37</t>
  </si>
  <si>
    <t>-40</t>
  </si>
  <si>
    <t>-77</t>
  </si>
  <si>
    <t>-73</t>
  </si>
  <si>
    <t>-45</t>
  </si>
  <si>
    <t>-47</t>
  </si>
  <si>
    <t>-75</t>
  </si>
  <si>
    <t>-26</t>
  </si>
  <si>
    <t>-95</t>
  </si>
  <si>
    <t>6</t>
  </si>
  <si>
    <t>43</t>
  </si>
  <si>
    <t>27</t>
  </si>
  <si>
    <t>-6</t>
  </si>
  <si>
    <t>-21</t>
  </si>
  <si>
    <t>-29</t>
  </si>
  <si>
    <t>3</t>
  </si>
  <si>
    <t>-5</t>
  </si>
  <si>
    <t>-30</t>
  </si>
  <si>
    <t>19</t>
  </si>
  <si>
    <t>-22</t>
  </si>
  <si>
    <t>4</t>
  </si>
  <si>
    <t>-18</t>
  </si>
  <si>
    <t>-42</t>
  </si>
  <si>
    <t>-1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</si>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</sst>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workbookViewId="0">
      <selection activeCell="B1" sqref="B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93.7</v>
      </c>
      <c r="D2">
        <v>262.60000000000002</v>
      </c>
      <c r="E2" t="s">
        <v>53</v>
      </c>
    </row>
    <row r="3" spans="1:5" x14ac:dyDescent="0.25">
      <c r="A3">
        <v>2</v>
      </c>
      <c r="B3" t="s">
        <v>6</v>
      </c>
      <c r="C3">
        <v>42.3</v>
      </c>
      <c r="D3">
        <v>91.8</v>
      </c>
      <c r="E3" t="s">
        <v>52</v>
      </c>
    </row>
    <row r="4" spans="1:5" x14ac:dyDescent="0.25">
      <c r="A4">
        <v>3</v>
      </c>
      <c r="B4" t="s">
        <v>7</v>
      </c>
      <c r="C4">
        <v>55.2</v>
      </c>
      <c r="D4">
        <v>126.8</v>
      </c>
      <c r="E4" t="s">
        <v>66</v>
      </c>
    </row>
    <row r="5" spans="1:5" x14ac:dyDescent="0.25">
      <c r="A5">
        <v>4</v>
      </c>
      <c r="B5" t="s">
        <v>8</v>
      </c>
      <c r="C5">
        <v>165.2</v>
      </c>
      <c r="D5">
        <v>139.5</v>
      </c>
      <c r="E5" t="s">
        <v>70</v>
      </c>
    </row>
    <row r="6" spans="1:5" x14ac:dyDescent="0.25">
      <c r="A6">
        <v>5</v>
      </c>
      <c r="B6" t="s">
        <v>9</v>
      </c>
      <c r="C6">
        <v>101.8</v>
      </c>
      <c r="D6">
        <v>165.6</v>
      </c>
      <c r="E6" t="s">
        <v>71</v>
      </c>
    </row>
    <row r="7" spans="1:5" x14ac:dyDescent="0.25">
      <c r="A7">
        <v>6</v>
      </c>
      <c r="B7" t="s">
        <v>10</v>
      </c>
      <c r="C7">
        <v>81.099999999999994</v>
      </c>
      <c r="D7">
        <v>111.7</v>
      </c>
      <c r="E7" t="s">
        <v>54</v>
      </c>
    </row>
    <row r="8" spans="1:5" x14ac:dyDescent="0.25">
      <c r="A8">
        <v>7</v>
      </c>
      <c r="B8" t="s">
        <v>11</v>
      </c>
      <c r="C8">
        <v>156</v>
      </c>
      <c r="D8">
        <v>179.5</v>
      </c>
      <c r="E8" t="s">
        <v>72</v>
      </c>
    </row>
    <row r="9" spans="1:5" x14ac:dyDescent="0.25">
      <c r="A9">
        <v>8</v>
      </c>
      <c r="B9" t="s">
        <v>12</v>
      </c>
      <c r="C9">
        <v>16.7</v>
      </c>
      <c r="D9">
        <v>116.4</v>
      </c>
      <c r="E9" t="s">
        <v>73</v>
      </c>
    </row>
    <row r="10" spans="1:5" x14ac:dyDescent="0.25">
      <c r="A10">
        <v>9</v>
      </c>
      <c r="B10" t="s">
        <v>13</v>
      </c>
      <c r="C10">
        <v>79.400000000000006</v>
      </c>
      <c r="D10">
        <v>110.6</v>
      </c>
      <c r="E10" t="s">
        <v>74</v>
      </c>
    </row>
    <row r="11" spans="1:5" x14ac:dyDescent="0.25">
      <c r="A11">
        <v>10</v>
      </c>
      <c r="B11" t="s">
        <v>14</v>
      </c>
      <c r="C11">
        <v>97</v>
      </c>
      <c r="D11">
        <v>145.1</v>
      </c>
      <c r="E11" t="s">
        <v>59</v>
      </c>
    </row>
    <row r="12" spans="1:5" x14ac:dyDescent="0.25">
      <c r="A12">
        <v>11</v>
      </c>
      <c r="B12" t="s">
        <v>15</v>
      </c>
      <c r="C12">
        <v>76</v>
      </c>
      <c r="D12">
        <v>177.8</v>
      </c>
      <c r="E12" t="s">
        <v>67</v>
      </c>
    </row>
    <row r="13" spans="1:5" x14ac:dyDescent="0.25">
      <c r="A13">
        <v>12</v>
      </c>
      <c r="B13" t="s">
        <v>16</v>
      </c>
      <c r="C13">
        <v>121.5</v>
      </c>
      <c r="D13">
        <v>135.4</v>
      </c>
      <c r="E13" t="s">
        <v>55</v>
      </c>
    </row>
    <row r="14" spans="1:5" x14ac:dyDescent="0.25">
      <c r="A14">
        <v>13</v>
      </c>
      <c r="B14" t="s">
        <v>17</v>
      </c>
      <c r="C14">
        <v>51.1</v>
      </c>
      <c r="D14">
        <v>142.80000000000001</v>
      </c>
      <c r="E14" t="s">
        <v>53</v>
      </c>
    </row>
    <row r="15" spans="1:5" x14ac:dyDescent="0.25">
      <c r="A15">
        <v>14</v>
      </c>
      <c r="B15" t="s">
        <v>18</v>
      </c>
      <c r="C15">
        <v>59.6</v>
      </c>
      <c r="D15">
        <v>125.2</v>
      </c>
      <c r="E15" t="s">
        <v>56</v>
      </c>
    </row>
    <row r="16" spans="1:5" x14ac:dyDescent="0.25">
      <c r="A16">
        <v>15</v>
      </c>
      <c r="B16" t="s">
        <v>19</v>
      </c>
      <c r="C16">
        <v>49.1</v>
      </c>
      <c r="D16">
        <v>147.4</v>
      </c>
      <c r="E16" t="s">
        <v>49</v>
      </c>
    </row>
    <row r="17" spans="1:5" x14ac:dyDescent="0.25">
      <c r="A17">
        <v>16</v>
      </c>
      <c r="B17" t="s">
        <v>20</v>
      </c>
      <c r="C17">
        <v>185.3</v>
      </c>
      <c r="D17">
        <v>211.9</v>
      </c>
      <c r="E17" t="s">
        <v>72</v>
      </c>
    </row>
    <row r="18" spans="1:5" x14ac:dyDescent="0.25">
      <c r="A18">
        <v>17</v>
      </c>
      <c r="B18" t="s">
        <v>21</v>
      </c>
      <c r="C18">
        <v>51.5</v>
      </c>
      <c r="D18">
        <v>184.5</v>
      </c>
      <c r="E18" t="s">
        <v>50</v>
      </c>
    </row>
    <row r="19" spans="1:5" x14ac:dyDescent="0.25">
      <c r="A19">
        <v>18</v>
      </c>
      <c r="B19" t="s">
        <v>22</v>
      </c>
      <c r="C19">
        <v>304.3</v>
      </c>
      <c r="D19">
        <v>342.6</v>
      </c>
      <c r="E19" t="s">
        <v>58</v>
      </c>
    </row>
    <row r="20" spans="1:5" x14ac:dyDescent="0.25">
      <c r="A20">
        <v>19</v>
      </c>
      <c r="B20" t="s">
        <v>23</v>
      </c>
      <c r="C20">
        <v>122.5</v>
      </c>
      <c r="D20">
        <v>121.7</v>
      </c>
      <c r="E20" t="s">
        <v>75</v>
      </c>
    </row>
    <row r="21" spans="1:5" x14ac:dyDescent="0.25">
      <c r="A21">
        <v>20</v>
      </c>
      <c r="B21" t="s">
        <v>24</v>
      </c>
      <c r="C21">
        <v>207.5</v>
      </c>
      <c r="D21">
        <v>197.5</v>
      </c>
      <c r="E21" t="s">
        <v>76</v>
      </c>
    </row>
    <row r="22" spans="1:5" x14ac:dyDescent="0.25">
      <c r="A22">
        <v>21</v>
      </c>
      <c r="B22" t="s">
        <v>25</v>
      </c>
      <c r="C22">
        <v>152.1</v>
      </c>
      <c r="D22">
        <v>169.2</v>
      </c>
      <c r="E22" t="s">
        <v>55</v>
      </c>
    </row>
    <row r="23" spans="1:5" x14ac:dyDescent="0.25">
      <c r="A23">
        <v>22</v>
      </c>
      <c r="B23" t="s">
        <v>26</v>
      </c>
      <c r="C23">
        <v>59.3</v>
      </c>
      <c r="D23">
        <v>164</v>
      </c>
      <c r="E23" t="s">
        <v>53</v>
      </c>
    </row>
    <row r="24" spans="1:5" x14ac:dyDescent="0.25">
      <c r="A24">
        <v>23</v>
      </c>
      <c r="B24" t="s">
        <v>27</v>
      </c>
      <c r="C24">
        <v>54</v>
      </c>
      <c r="D24">
        <v>157</v>
      </c>
      <c r="E24" t="s">
        <v>77</v>
      </c>
    </row>
    <row r="25" spans="1:5" x14ac:dyDescent="0.25">
      <c r="A25">
        <v>24</v>
      </c>
      <c r="B25" t="s">
        <v>28</v>
      </c>
      <c r="C25">
        <v>85.6</v>
      </c>
      <c r="D25">
        <v>119.2</v>
      </c>
      <c r="E25" t="s">
        <v>74</v>
      </c>
    </row>
    <row r="26" spans="1:5" x14ac:dyDescent="0.25">
      <c r="A26">
        <v>25</v>
      </c>
      <c r="B26" t="s">
        <v>29</v>
      </c>
      <c r="C26">
        <v>64.900000000000006</v>
      </c>
      <c r="D26">
        <v>124.3</v>
      </c>
      <c r="E26" t="s">
        <v>62</v>
      </c>
    </row>
    <row r="27" spans="1:5" x14ac:dyDescent="0.25">
      <c r="A27">
        <v>26</v>
      </c>
      <c r="B27" t="s">
        <v>30</v>
      </c>
      <c r="C27">
        <v>42</v>
      </c>
      <c r="D27">
        <v>130.19999999999999</v>
      </c>
      <c r="E27" t="s">
        <v>78</v>
      </c>
    </row>
    <row r="28" spans="1:5" x14ac:dyDescent="0.25">
      <c r="A28">
        <v>27</v>
      </c>
      <c r="B28" t="s">
        <v>31</v>
      </c>
      <c r="C28">
        <v>214.8</v>
      </c>
      <c r="D28">
        <v>279.7</v>
      </c>
      <c r="E28" t="s">
        <v>79</v>
      </c>
    </row>
    <row r="29" spans="1:5" x14ac:dyDescent="0.25">
      <c r="A29">
        <v>28</v>
      </c>
      <c r="B29" t="s">
        <v>32</v>
      </c>
      <c r="C29">
        <v>73.3</v>
      </c>
      <c r="D29">
        <v>115.4</v>
      </c>
      <c r="E29" t="s">
        <v>80</v>
      </c>
    </row>
    <row r="30" spans="1:5" x14ac:dyDescent="0.25">
      <c r="A30">
        <v>29</v>
      </c>
      <c r="B30" t="s">
        <v>33</v>
      </c>
      <c r="C30">
        <v>117.2</v>
      </c>
      <c r="D30">
        <v>195.6</v>
      </c>
      <c r="E30" t="s">
        <v>81</v>
      </c>
    </row>
    <row r="31" spans="1:5" x14ac:dyDescent="0.25">
      <c r="A31">
        <v>30</v>
      </c>
      <c r="B31" t="s">
        <v>34</v>
      </c>
      <c r="C31">
        <v>79.599999999999994</v>
      </c>
      <c r="D31">
        <v>158.4</v>
      </c>
      <c r="E31" t="s">
        <v>60</v>
      </c>
    </row>
    <row r="32" spans="1:5" x14ac:dyDescent="0.25">
      <c r="A32">
        <v>31</v>
      </c>
      <c r="B32" t="s">
        <v>35</v>
      </c>
      <c r="C32">
        <v>29.3</v>
      </c>
      <c r="D32">
        <v>129.69999999999999</v>
      </c>
      <c r="E32" t="s">
        <v>82</v>
      </c>
    </row>
    <row r="33" spans="1:5" x14ac:dyDescent="0.25">
      <c r="A33">
        <v>32</v>
      </c>
      <c r="B33" t="s">
        <v>36</v>
      </c>
      <c r="C33">
        <v>35.200000000000003</v>
      </c>
      <c r="D33">
        <v>130.1</v>
      </c>
      <c r="E33" t="s">
        <v>83</v>
      </c>
    </row>
    <row r="34" spans="1:5" x14ac:dyDescent="0.25">
      <c r="A34">
        <v>33</v>
      </c>
      <c r="B34" t="s">
        <v>37</v>
      </c>
      <c r="C34">
        <v>99.4</v>
      </c>
      <c r="D34">
        <v>179.1</v>
      </c>
      <c r="E34" t="s">
        <v>84</v>
      </c>
    </row>
    <row r="35" spans="1:5" x14ac:dyDescent="0.25">
      <c r="A35">
        <v>34</v>
      </c>
      <c r="B35" t="s">
        <v>38</v>
      </c>
      <c r="C35">
        <v>100.3</v>
      </c>
      <c r="D35">
        <v>188.9</v>
      </c>
      <c r="E35" t="s">
        <v>85</v>
      </c>
    </row>
    <row r="36" spans="1:5" x14ac:dyDescent="0.25">
      <c r="A36">
        <v>35</v>
      </c>
      <c r="B36" t="s">
        <v>39</v>
      </c>
      <c r="C36">
        <v>32.4</v>
      </c>
      <c r="D36">
        <v>130.80000000000001</v>
      </c>
      <c r="E36" t="s">
        <v>86</v>
      </c>
    </row>
    <row r="37" spans="1:5" x14ac:dyDescent="0.25">
      <c r="A37">
        <v>36</v>
      </c>
      <c r="B37" t="s">
        <v>40</v>
      </c>
      <c r="C37">
        <v>150.5</v>
      </c>
      <c r="D37">
        <v>203.4</v>
      </c>
      <c r="E37" t="s">
        <v>87</v>
      </c>
    </row>
    <row r="38" spans="1:5" x14ac:dyDescent="0.25">
      <c r="A38">
        <v>37</v>
      </c>
      <c r="B38" t="s">
        <v>41</v>
      </c>
      <c r="C38">
        <v>6.6</v>
      </c>
      <c r="D38">
        <v>126.1</v>
      </c>
      <c r="E38" t="s">
        <v>88</v>
      </c>
    </row>
    <row r="39" spans="1:5" x14ac:dyDescent="0.25">
      <c r="A39">
        <v>38</v>
      </c>
      <c r="B39" t="s">
        <v>42</v>
      </c>
      <c r="C39">
        <v>144.69999999999999</v>
      </c>
      <c r="D39">
        <v>200.8</v>
      </c>
      <c r="E3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A92B-155B-4E51-8D2E-C368A65BCB69}">
  <dimension ref="A1:E39"/>
  <sheetViews>
    <sheetView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332.1</v>
      </c>
      <c r="D2">
        <v>487.1</v>
      </c>
      <c r="E2" t="s">
        <v>65</v>
      </c>
    </row>
    <row r="3" spans="1:5" x14ac:dyDescent="0.25">
      <c r="A3">
        <v>2</v>
      </c>
      <c r="B3" t="s">
        <v>6</v>
      </c>
      <c r="C3">
        <v>156.6</v>
      </c>
      <c r="D3">
        <v>249.1</v>
      </c>
      <c r="E3" t="s">
        <v>80</v>
      </c>
    </row>
    <row r="4" spans="1:5" x14ac:dyDescent="0.25">
      <c r="A4">
        <v>3</v>
      </c>
      <c r="B4" t="s">
        <v>7</v>
      </c>
      <c r="C4">
        <v>311.7</v>
      </c>
      <c r="D4">
        <v>293.5</v>
      </c>
      <c r="E4" t="s">
        <v>89</v>
      </c>
    </row>
    <row r="5" spans="1:5" x14ac:dyDescent="0.25">
      <c r="A5">
        <v>4</v>
      </c>
      <c r="B5" t="s">
        <v>8</v>
      </c>
      <c r="C5">
        <v>406.2</v>
      </c>
      <c r="D5">
        <v>284.7</v>
      </c>
      <c r="E5" t="s">
        <v>90</v>
      </c>
    </row>
    <row r="6" spans="1:5" x14ac:dyDescent="0.25">
      <c r="A6">
        <v>5</v>
      </c>
      <c r="B6" t="s">
        <v>9</v>
      </c>
      <c r="C6">
        <v>140.6</v>
      </c>
      <c r="D6">
        <v>329.1</v>
      </c>
      <c r="E6" t="s">
        <v>67</v>
      </c>
    </row>
    <row r="7" spans="1:5" x14ac:dyDescent="0.25">
      <c r="A7">
        <v>6</v>
      </c>
      <c r="B7" t="s">
        <v>10</v>
      </c>
      <c r="C7">
        <v>364.6</v>
      </c>
      <c r="D7">
        <v>286</v>
      </c>
      <c r="E7" t="s">
        <v>91</v>
      </c>
    </row>
    <row r="8" spans="1:5" x14ac:dyDescent="0.25">
      <c r="A8">
        <v>7</v>
      </c>
      <c r="B8" t="s">
        <v>11</v>
      </c>
      <c r="C8">
        <v>338.3</v>
      </c>
      <c r="D8">
        <v>310.7</v>
      </c>
      <c r="E8" t="s">
        <v>68</v>
      </c>
    </row>
    <row r="9" spans="1:5" x14ac:dyDescent="0.25">
      <c r="A9">
        <v>8</v>
      </c>
      <c r="B9" t="s">
        <v>12</v>
      </c>
      <c r="C9">
        <v>289.89999999999998</v>
      </c>
      <c r="D9">
        <v>306.8</v>
      </c>
      <c r="E9" t="s">
        <v>92</v>
      </c>
    </row>
    <row r="10" spans="1:5" x14ac:dyDescent="0.25">
      <c r="A10">
        <v>9</v>
      </c>
      <c r="B10" t="s">
        <v>13</v>
      </c>
      <c r="C10">
        <v>429.2</v>
      </c>
      <c r="D10">
        <v>270.60000000000002</v>
      </c>
      <c r="E10" t="s">
        <v>69</v>
      </c>
    </row>
    <row r="11" spans="1:5" x14ac:dyDescent="0.25">
      <c r="A11">
        <v>10</v>
      </c>
      <c r="B11" t="s">
        <v>14</v>
      </c>
      <c r="C11">
        <v>246.8</v>
      </c>
      <c r="D11">
        <v>313.2</v>
      </c>
      <c r="E11" t="s">
        <v>93</v>
      </c>
    </row>
    <row r="12" spans="1:5" x14ac:dyDescent="0.25">
      <c r="A12">
        <v>11</v>
      </c>
      <c r="B12" t="s">
        <v>15</v>
      </c>
      <c r="C12">
        <v>258</v>
      </c>
      <c r="D12">
        <v>364.3</v>
      </c>
      <c r="E12" t="s">
        <v>94</v>
      </c>
    </row>
    <row r="13" spans="1:5" x14ac:dyDescent="0.25">
      <c r="A13">
        <v>12</v>
      </c>
      <c r="B13" t="s">
        <v>16</v>
      </c>
      <c r="C13">
        <v>285.5</v>
      </c>
      <c r="D13">
        <v>276.60000000000002</v>
      </c>
      <c r="E13" t="s">
        <v>95</v>
      </c>
    </row>
    <row r="14" spans="1:5" x14ac:dyDescent="0.25">
      <c r="A14">
        <v>13</v>
      </c>
      <c r="B14" t="s">
        <v>17</v>
      </c>
      <c r="C14">
        <v>302</v>
      </c>
      <c r="D14">
        <v>336.3</v>
      </c>
      <c r="E14" t="s">
        <v>55</v>
      </c>
    </row>
    <row r="15" spans="1:5" x14ac:dyDescent="0.25">
      <c r="A15">
        <v>14</v>
      </c>
      <c r="B15" t="s">
        <v>18</v>
      </c>
      <c r="C15">
        <v>228.8</v>
      </c>
      <c r="D15">
        <v>284.39999999999998</v>
      </c>
      <c r="E15" t="s">
        <v>61</v>
      </c>
    </row>
    <row r="16" spans="1:5" x14ac:dyDescent="0.25">
      <c r="A16">
        <v>15</v>
      </c>
      <c r="B16" t="s">
        <v>19</v>
      </c>
      <c r="C16">
        <v>302.2</v>
      </c>
      <c r="D16">
        <v>319.39999999999998</v>
      </c>
      <c r="E16" t="s">
        <v>96</v>
      </c>
    </row>
    <row r="17" spans="1:5" x14ac:dyDescent="0.25">
      <c r="A17">
        <v>16</v>
      </c>
      <c r="B17" t="s">
        <v>20</v>
      </c>
      <c r="C17">
        <v>185</v>
      </c>
      <c r="D17">
        <v>349.2</v>
      </c>
      <c r="E17" t="s">
        <v>85</v>
      </c>
    </row>
    <row r="18" spans="1:5" x14ac:dyDescent="0.25">
      <c r="A18">
        <v>17</v>
      </c>
      <c r="B18" t="s">
        <v>21</v>
      </c>
      <c r="C18">
        <v>216.2</v>
      </c>
      <c r="D18">
        <v>309</v>
      </c>
      <c r="E18" t="s">
        <v>97</v>
      </c>
    </row>
    <row r="19" spans="1:5" x14ac:dyDescent="0.25">
      <c r="A19">
        <v>18</v>
      </c>
      <c r="B19" t="s">
        <v>22</v>
      </c>
      <c r="C19">
        <v>535.70000000000005</v>
      </c>
      <c r="D19">
        <v>597.4</v>
      </c>
      <c r="E19" t="s">
        <v>55</v>
      </c>
    </row>
    <row r="20" spans="1:5" x14ac:dyDescent="0.25">
      <c r="A20">
        <v>19</v>
      </c>
      <c r="B20" t="s">
        <v>23</v>
      </c>
      <c r="C20">
        <v>273.2</v>
      </c>
      <c r="D20">
        <v>305.3</v>
      </c>
      <c r="E20" t="s">
        <v>58</v>
      </c>
    </row>
    <row r="21" spans="1:5" x14ac:dyDescent="0.25">
      <c r="A21">
        <v>20</v>
      </c>
      <c r="B21" t="s">
        <v>24</v>
      </c>
      <c r="C21">
        <v>218.9</v>
      </c>
      <c r="D21">
        <v>332.8</v>
      </c>
      <c r="E21" t="s">
        <v>51</v>
      </c>
    </row>
    <row r="22" spans="1:5" x14ac:dyDescent="0.25">
      <c r="A22">
        <v>21</v>
      </c>
      <c r="B22" t="s">
        <v>25</v>
      </c>
      <c r="C22">
        <v>420.9</v>
      </c>
      <c r="D22">
        <v>353.5</v>
      </c>
      <c r="E22" t="s">
        <v>98</v>
      </c>
    </row>
    <row r="23" spans="1:5" x14ac:dyDescent="0.25">
      <c r="A23">
        <v>22</v>
      </c>
      <c r="B23" t="s">
        <v>26</v>
      </c>
      <c r="C23">
        <v>275.2</v>
      </c>
      <c r="D23">
        <v>353.9</v>
      </c>
      <c r="E23" t="s">
        <v>99</v>
      </c>
    </row>
    <row r="24" spans="1:5" x14ac:dyDescent="0.25">
      <c r="A24">
        <v>23</v>
      </c>
      <c r="B24" t="s">
        <v>27</v>
      </c>
      <c r="C24">
        <v>188.2</v>
      </c>
      <c r="D24">
        <v>332.2</v>
      </c>
      <c r="E24" t="s">
        <v>64</v>
      </c>
    </row>
    <row r="25" spans="1:5" x14ac:dyDescent="0.25">
      <c r="A25">
        <v>24</v>
      </c>
      <c r="B25" t="s">
        <v>28</v>
      </c>
      <c r="C25">
        <v>221.8</v>
      </c>
      <c r="D25">
        <v>304.3</v>
      </c>
      <c r="E25" t="s">
        <v>54</v>
      </c>
    </row>
    <row r="26" spans="1:5" x14ac:dyDescent="0.25">
      <c r="A26">
        <v>25</v>
      </c>
      <c r="B26" t="s">
        <v>29</v>
      </c>
      <c r="C26">
        <v>292.5</v>
      </c>
      <c r="D26">
        <v>281.39999999999998</v>
      </c>
      <c r="E26" t="s">
        <v>100</v>
      </c>
    </row>
    <row r="27" spans="1:5" x14ac:dyDescent="0.25">
      <c r="A27">
        <v>26</v>
      </c>
      <c r="B27" t="s">
        <v>30</v>
      </c>
      <c r="C27">
        <v>260.3</v>
      </c>
      <c r="D27">
        <v>315.60000000000002</v>
      </c>
      <c r="E27" t="s">
        <v>101</v>
      </c>
    </row>
    <row r="28" spans="1:5" x14ac:dyDescent="0.25">
      <c r="A28">
        <v>27</v>
      </c>
      <c r="B28" t="s">
        <v>31</v>
      </c>
      <c r="C28">
        <v>244.2</v>
      </c>
      <c r="D28">
        <v>476.3</v>
      </c>
      <c r="E28" t="s">
        <v>57</v>
      </c>
    </row>
    <row r="29" spans="1:5" x14ac:dyDescent="0.25">
      <c r="A29">
        <v>28</v>
      </c>
      <c r="B29" t="s">
        <v>32</v>
      </c>
      <c r="C29">
        <v>221.8</v>
      </c>
      <c r="D29">
        <v>288.8</v>
      </c>
      <c r="E29" t="s">
        <v>79</v>
      </c>
    </row>
    <row r="30" spans="1:5" x14ac:dyDescent="0.25">
      <c r="A30">
        <v>29</v>
      </c>
      <c r="B30" t="s">
        <v>33</v>
      </c>
      <c r="C30">
        <v>141.30000000000001</v>
      </c>
      <c r="D30">
        <v>375.3</v>
      </c>
      <c r="E30" t="s">
        <v>63</v>
      </c>
    </row>
    <row r="31" spans="1:5" x14ac:dyDescent="0.25">
      <c r="A31">
        <v>30</v>
      </c>
      <c r="B31" t="s">
        <v>34</v>
      </c>
      <c r="C31">
        <v>230.1</v>
      </c>
      <c r="D31">
        <v>309.5</v>
      </c>
      <c r="E31" t="s">
        <v>87</v>
      </c>
    </row>
    <row r="32" spans="1:5" x14ac:dyDescent="0.25">
      <c r="A32">
        <v>31</v>
      </c>
      <c r="B32" t="s">
        <v>35</v>
      </c>
      <c r="C32">
        <v>182.2</v>
      </c>
      <c r="D32">
        <v>315.89999999999998</v>
      </c>
      <c r="E32" t="s">
        <v>102</v>
      </c>
    </row>
    <row r="33" spans="1:5" x14ac:dyDescent="0.25">
      <c r="A33">
        <v>32</v>
      </c>
      <c r="B33" t="s">
        <v>36</v>
      </c>
      <c r="C33">
        <v>293.10000000000002</v>
      </c>
      <c r="D33">
        <v>296.60000000000002</v>
      </c>
      <c r="E33" t="s">
        <v>103</v>
      </c>
    </row>
    <row r="34" spans="1:5" x14ac:dyDescent="0.25">
      <c r="A34">
        <v>33</v>
      </c>
      <c r="B34" t="s">
        <v>37</v>
      </c>
      <c r="C34">
        <v>360.8</v>
      </c>
      <c r="D34">
        <v>356.7</v>
      </c>
      <c r="E34" t="s">
        <v>75</v>
      </c>
    </row>
    <row r="35" spans="1:5" x14ac:dyDescent="0.25">
      <c r="A35">
        <v>34</v>
      </c>
      <c r="B35" t="s">
        <v>38</v>
      </c>
      <c r="C35">
        <v>405.8</v>
      </c>
      <c r="D35">
        <v>375.5</v>
      </c>
      <c r="E35" t="s">
        <v>104</v>
      </c>
    </row>
    <row r="36" spans="1:5" x14ac:dyDescent="0.25">
      <c r="A36">
        <v>35</v>
      </c>
      <c r="B36" t="s">
        <v>39</v>
      </c>
      <c r="C36">
        <v>209.6</v>
      </c>
      <c r="D36">
        <v>308.3</v>
      </c>
      <c r="E36" t="s">
        <v>65</v>
      </c>
    </row>
    <row r="37" spans="1:5" x14ac:dyDescent="0.25">
      <c r="A37">
        <v>36</v>
      </c>
      <c r="B37" t="s">
        <v>40</v>
      </c>
      <c r="C37">
        <v>258.60000000000002</v>
      </c>
      <c r="D37">
        <v>391.3</v>
      </c>
      <c r="E37" t="s">
        <v>51</v>
      </c>
    </row>
    <row r="38" spans="1:5" x14ac:dyDescent="0.25">
      <c r="A38">
        <v>37</v>
      </c>
      <c r="B38" t="s">
        <v>41</v>
      </c>
      <c r="C38">
        <v>174.3</v>
      </c>
      <c r="D38">
        <v>335.6</v>
      </c>
      <c r="E38" t="s">
        <v>62</v>
      </c>
    </row>
    <row r="39" spans="1:5" x14ac:dyDescent="0.25">
      <c r="A39">
        <v>38</v>
      </c>
      <c r="B39" t="s">
        <v>42</v>
      </c>
      <c r="C39">
        <v>521.70000000000005</v>
      </c>
      <c r="D39">
        <v>438.5</v>
      </c>
      <c r="E3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DC90-A528-48EA-AC55-BF8E2514B141}">
  <dimension ref="A1:E39"/>
  <sheetViews>
    <sheetView topLeftCell="A7"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363.9</v>
      </c>
      <c r="D2">
        <v>340.9</v>
      </c>
      <c r="E2">
        <v>7</v>
      </c>
    </row>
    <row r="3" spans="1:5" x14ac:dyDescent="0.25">
      <c r="A3">
        <v>2</v>
      </c>
      <c r="B3" t="s">
        <v>6</v>
      </c>
      <c r="C3">
        <v>203.6</v>
      </c>
      <c r="D3">
        <v>204.5</v>
      </c>
      <c r="E3">
        <v>0</v>
      </c>
    </row>
    <row r="4" spans="1:5" x14ac:dyDescent="0.25">
      <c r="A4">
        <v>3</v>
      </c>
      <c r="B4" t="s">
        <v>7</v>
      </c>
      <c r="C4">
        <v>200.9</v>
      </c>
      <c r="D4">
        <v>251</v>
      </c>
      <c r="E4">
        <v>-20</v>
      </c>
    </row>
    <row r="5" spans="1:5" x14ac:dyDescent="0.25">
      <c r="A5">
        <v>4</v>
      </c>
      <c r="B5" t="s">
        <v>8</v>
      </c>
      <c r="C5">
        <v>309.7</v>
      </c>
      <c r="D5">
        <v>247.7</v>
      </c>
      <c r="E5">
        <v>25</v>
      </c>
    </row>
    <row r="6" spans="1:5" x14ac:dyDescent="0.25">
      <c r="A6">
        <v>5</v>
      </c>
      <c r="B6" t="s">
        <v>9</v>
      </c>
      <c r="C6">
        <v>283.60000000000002</v>
      </c>
      <c r="D6">
        <v>273.8</v>
      </c>
      <c r="E6">
        <v>4</v>
      </c>
    </row>
    <row r="7" spans="1:5" x14ac:dyDescent="0.25">
      <c r="A7">
        <v>6</v>
      </c>
      <c r="B7" t="s">
        <v>10</v>
      </c>
      <c r="C7">
        <v>216.3</v>
      </c>
      <c r="D7">
        <v>271.2</v>
      </c>
      <c r="E7">
        <v>-20</v>
      </c>
    </row>
    <row r="8" spans="1:5" x14ac:dyDescent="0.25">
      <c r="A8">
        <v>7</v>
      </c>
      <c r="B8" t="s">
        <v>11</v>
      </c>
      <c r="C8">
        <v>345.9</v>
      </c>
      <c r="D8">
        <v>260.3</v>
      </c>
      <c r="E8">
        <v>33</v>
      </c>
    </row>
    <row r="9" spans="1:5" x14ac:dyDescent="0.25">
      <c r="A9">
        <v>8</v>
      </c>
      <c r="B9" t="s">
        <v>12</v>
      </c>
      <c r="C9">
        <v>196.4</v>
      </c>
      <c r="D9">
        <v>258.89999999999998</v>
      </c>
      <c r="E9">
        <v>-24</v>
      </c>
    </row>
    <row r="10" spans="1:5" x14ac:dyDescent="0.25">
      <c r="A10">
        <v>9</v>
      </c>
      <c r="B10" t="s">
        <v>13</v>
      </c>
      <c r="C10">
        <v>444.1</v>
      </c>
      <c r="D10">
        <v>232</v>
      </c>
      <c r="E10">
        <v>91</v>
      </c>
    </row>
    <row r="11" spans="1:5" x14ac:dyDescent="0.25">
      <c r="A11">
        <v>10</v>
      </c>
      <c r="B11" t="s">
        <v>14</v>
      </c>
      <c r="C11">
        <v>195.9</v>
      </c>
      <c r="D11">
        <v>254.7</v>
      </c>
      <c r="E11">
        <v>-23</v>
      </c>
    </row>
    <row r="12" spans="1:5" x14ac:dyDescent="0.25">
      <c r="A12">
        <v>11</v>
      </c>
      <c r="B12" t="s">
        <v>15</v>
      </c>
      <c r="C12">
        <v>240.1</v>
      </c>
      <c r="D12">
        <v>302</v>
      </c>
      <c r="E12">
        <v>-21</v>
      </c>
    </row>
    <row r="13" spans="1:5" x14ac:dyDescent="0.25">
      <c r="A13">
        <v>12</v>
      </c>
      <c r="B13" t="s">
        <v>16</v>
      </c>
      <c r="C13">
        <v>251.3</v>
      </c>
      <c r="D13">
        <v>241.6</v>
      </c>
      <c r="E13">
        <v>4</v>
      </c>
    </row>
    <row r="14" spans="1:5" x14ac:dyDescent="0.25">
      <c r="A14">
        <v>13</v>
      </c>
      <c r="B14" t="s">
        <v>17</v>
      </c>
      <c r="C14">
        <v>348</v>
      </c>
      <c r="D14">
        <v>272.7</v>
      </c>
      <c r="E14">
        <v>28</v>
      </c>
    </row>
    <row r="15" spans="1:5" x14ac:dyDescent="0.25">
      <c r="A15">
        <v>14</v>
      </c>
      <c r="B15" t="s">
        <v>18</v>
      </c>
      <c r="C15">
        <v>113.6</v>
      </c>
      <c r="D15">
        <v>238.2</v>
      </c>
      <c r="E15">
        <v>-52</v>
      </c>
    </row>
    <row r="16" spans="1:5" x14ac:dyDescent="0.25">
      <c r="A16">
        <v>15</v>
      </c>
      <c r="B16" t="s">
        <v>19</v>
      </c>
      <c r="C16">
        <v>194.8</v>
      </c>
      <c r="D16">
        <v>250.9</v>
      </c>
      <c r="E16">
        <v>-22</v>
      </c>
    </row>
    <row r="17" spans="1:5" x14ac:dyDescent="0.25">
      <c r="A17">
        <v>16</v>
      </c>
      <c r="B17" t="s">
        <v>20</v>
      </c>
      <c r="C17">
        <v>205.9</v>
      </c>
      <c r="D17">
        <v>255.8</v>
      </c>
      <c r="E17">
        <v>-19</v>
      </c>
    </row>
    <row r="18" spans="1:5" x14ac:dyDescent="0.25">
      <c r="A18">
        <v>17</v>
      </c>
      <c r="B18" t="s">
        <v>21</v>
      </c>
      <c r="C18">
        <v>237.5</v>
      </c>
      <c r="D18">
        <v>252.1</v>
      </c>
      <c r="E18">
        <v>-6</v>
      </c>
    </row>
    <row r="19" spans="1:5" x14ac:dyDescent="0.25">
      <c r="A19">
        <v>18</v>
      </c>
      <c r="B19" t="s">
        <v>22</v>
      </c>
      <c r="C19">
        <v>436</v>
      </c>
      <c r="D19">
        <v>451.7</v>
      </c>
      <c r="E19">
        <v>-3</v>
      </c>
    </row>
    <row r="20" spans="1:5" x14ac:dyDescent="0.25">
      <c r="A20">
        <v>19</v>
      </c>
      <c r="B20" t="s">
        <v>23</v>
      </c>
      <c r="C20">
        <v>163</v>
      </c>
      <c r="D20">
        <v>222.7</v>
      </c>
      <c r="E20">
        <v>-27</v>
      </c>
    </row>
    <row r="21" spans="1:5" x14ac:dyDescent="0.25">
      <c r="A21">
        <v>20</v>
      </c>
      <c r="B21" t="s">
        <v>24</v>
      </c>
      <c r="C21">
        <v>257.8</v>
      </c>
      <c r="D21">
        <v>265.89999999999998</v>
      </c>
      <c r="E21">
        <v>-3</v>
      </c>
    </row>
    <row r="22" spans="1:5" x14ac:dyDescent="0.25">
      <c r="A22">
        <v>21</v>
      </c>
      <c r="B22" t="s">
        <v>25</v>
      </c>
      <c r="C22">
        <v>255.4</v>
      </c>
      <c r="D22">
        <v>268.5</v>
      </c>
      <c r="E22">
        <v>-5</v>
      </c>
    </row>
    <row r="23" spans="1:5" x14ac:dyDescent="0.25">
      <c r="A23">
        <v>22</v>
      </c>
      <c r="B23" t="s">
        <v>26</v>
      </c>
      <c r="C23">
        <v>265.8</v>
      </c>
      <c r="D23">
        <v>276.10000000000002</v>
      </c>
      <c r="E23">
        <v>-4</v>
      </c>
    </row>
    <row r="24" spans="1:5" x14ac:dyDescent="0.25">
      <c r="A24">
        <v>23</v>
      </c>
      <c r="B24" t="s">
        <v>27</v>
      </c>
      <c r="C24">
        <v>237.1</v>
      </c>
      <c r="D24">
        <v>261.89999999999998</v>
      </c>
      <c r="E24">
        <v>-9</v>
      </c>
    </row>
    <row r="25" spans="1:5" x14ac:dyDescent="0.25">
      <c r="A25">
        <v>24</v>
      </c>
      <c r="B25" t="s">
        <v>28</v>
      </c>
      <c r="C25">
        <v>196</v>
      </c>
      <c r="D25">
        <v>237.7</v>
      </c>
      <c r="E25">
        <v>-18</v>
      </c>
    </row>
    <row r="26" spans="1:5" x14ac:dyDescent="0.25">
      <c r="A26">
        <v>25</v>
      </c>
      <c r="B26" t="s">
        <v>29</v>
      </c>
      <c r="C26">
        <v>207.8</v>
      </c>
      <c r="D26">
        <v>242.4</v>
      </c>
      <c r="E26">
        <v>-14</v>
      </c>
    </row>
    <row r="27" spans="1:5" x14ac:dyDescent="0.25">
      <c r="A27">
        <v>26</v>
      </c>
      <c r="B27" t="s">
        <v>30</v>
      </c>
      <c r="C27">
        <v>224.6</v>
      </c>
      <c r="D27">
        <v>237.8</v>
      </c>
      <c r="E27">
        <v>-6</v>
      </c>
    </row>
    <row r="28" spans="1:5" x14ac:dyDescent="0.25">
      <c r="A28">
        <v>27</v>
      </c>
      <c r="B28" t="s">
        <v>31</v>
      </c>
      <c r="C28">
        <v>394.3</v>
      </c>
      <c r="D28">
        <v>346.9</v>
      </c>
      <c r="E28">
        <v>14</v>
      </c>
    </row>
    <row r="29" spans="1:5" x14ac:dyDescent="0.25">
      <c r="A29">
        <v>28</v>
      </c>
      <c r="B29" t="s">
        <v>32</v>
      </c>
      <c r="C29">
        <v>219.7</v>
      </c>
      <c r="D29">
        <v>248</v>
      </c>
      <c r="E29">
        <v>-11</v>
      </c>
    </row>
    <row r="30" spans="1:5" x14ac:dyDescent="0.25">
      <c r="A30">
        <v>29</v>
      </c>
      <c r="B30" t="s">
        <v>33</v>
      </c>
      <c r="C30">
        <v>271.60000000000002</v>
      </c>
      <c r="D30">
        <v>276</v>
      </c>
      <c r="E30">
        <v>-2</v>
      </c>
    </row>
    <row r="31" spans="1:5" x14ac:dyDescent="0.25">
      <c r="A31">
        <v>30</v>
      </c>
      <c r="B31" t="s">
        <v>34</v>
      </c>
      <c r="C31">
        <v>354.5</v>
      </c>
      <c r="D31">
        <v>254.8</v>
      </c>
      <c r="E31">
        <v>39</v>
      </c>
    </row>
    <row r="32" spans="1:5" x14ac:dyDescent="0.25">
      <c r="A32">
        <v>31</v>
      </c>
      <c r="B32" t="s">
        <v>35</v>
      </c>
      <c r="C32">
        <v>181.3</v>
      </c>
      <c r="D32">
        <v>258</v>
      </c>
      <c r="E32">
        <v>-30</v>
      </c>
    </row>
    <row r="33" spans="1:5" x14ac:dyDescent="0.25">
      <c r="A33">
        <v>32</v>
      </c>
      <c r="B33" t="s">
        <v>36</v>
      </c>
      <c r="C33">
        <v>147.4</v>
      </c>
      <c r="D33">
        <v>209.6</v>
      </c>
      <c r="E33">
        <v>-30</v>
      </c>
    </row>
    <row r="34" spans="1:5" x14ac:dyDescent="0.25">
      <c r="A34">
        <v>33</v>
      </c>
      <c r="B34" t="s">
        <v>37</v>
      </c>
      <c r="C34">
        <v>194.3</v>
      </c>
      <c r="D34">
        <v>266.89999999999998</v>
      </c>
      <c r="E34">
        <v>-27</v>
      </c>
    </row>
    <row r="35" spans="1:5" x14ac:dyDescent="0.25">
      <c r="A35">
        <v>34</v>
      </c>
      <c r="B35" t="s">
        <v>38</v>
      </c>
      <c r="C35">
        <v>275</v>
      </c>
      <c r="D35">
        <v>307.3</v>
      </c>
      <c r="E35">
        <v>-10</v>
      </c>
    </row>
    <row r="36" spans="1:5" x14ac:dyDescent="0.25">
      <c r="A36">
        <v>35</v>
      </c>
      <c r="B36" t="s">
        <v>39</v>
      </c>
      <c r="C36">
        <v>238.7</v>
      </c>
      <c r="D36">
        <v>249</v>
      </c>
      <c r="E36">
        <v>-4</v>
      </c>
    </row>
    <row r="37" spans="1:5" x14ac:dyDescent="0.25">
      <c r="A37">
        <v>36</v>
      </c>
      <c r="B37" t="s">
        <v>40</v>
      </c>
      <c r="C37">
        <v>230.4</v>
      </c>
      <c r="D37">
        <v>262.5</v>
      </c>
      <c r="E37">
        <v>-12</v>
      </c>
    </row>
    <row r="38" spans="1:5" x14ac:dyDescent="0.25">
      <c r="A38">
        <v>37</v>
      </c>
      <c r="B38" t="s">
        <v>41</v>
      </c>
      <c r="C38">
        <v>254.9</v>
      </c>
      <c r="D38">
        <v>244.3</v>
      </c>
      <c r="E38">
        <v>4</v>
      </c>
    </row>
    <row r="39" spans="1:5" x14ac:dyDescent="0.25">
      <c r="A39">
        <v>38</v>
      </c>
      <c r="B39" t="s">
        <v>42</v>
      </c>
      <c r="C39">
        <v>428.5</v>
      </c>
      <c r="D39">
        <v>355.8</v>
      </c>
      <c r="E39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90AA-BBFB-4B2E-BFE2-E57D72B3F265}">
  <dimension ref="A1:E39"/>
  <sheetViews>
    <sheetView topLeftCell="A6" workbookViewId="0">
      <selection activeCell="I30" sqref="I3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211.9</v>
      </c>
      <c r="D2">
        <v>284</v>
      </c>
      <c r="E2">
        <v>-25</v>
      </c>
    </row>
    <row r="3" spans="1:5" x14ac:dyDescent="0.25">
      <c r="A3">
        <v>2</v>
      </c>
      <c r="B3" t="s">
        <v>6</v>
      </c>
      <c r="C3">
        <v>96.3</v>
      </c>
      <c r="D3">
        <v>159.80000000000001</v>
      </c>
      <c r="E3">
        <v>-40</v>
      </c>
    </row>
    <row r="4" spans="1:5" x14ac:dyDescent="0.25">
      <c r="A4">
        <v>3</v>
      </c>
      <c r="B4" t="s">
        <v>7</v>
      </c>
      <c r="C4">
        <v>132.30000000000001</v>
      </c>
      <c r="D4">
        <v>187.7</v>
      </c>
      <c r="E4">
        <v>-30</v>
      </c>
    </row>
    <row r="5" spans="1:5" x14ac:dyDescent="0.25">
      <c r="A5">
        <v>4</v>
      </c>
      <c r="B5" t="s">
        <v>8</v>
      </c>
      <c r="C5">
        <v>71.5</v>
      </c>
      <c r="D5">
        <v>198.7</v>
      </c>
      <c r="E5">
        <v>-64</v>
      </c>
    </row>
    <row r="6" spans="1:5" x14ac:dyDescent="0.25">
      <c r="A6">
        <v>5</v>
      </c>
      <c r="B6" t="s">
        <v>9</v>
      </c>
      <c r="C6">
        <v>86.5</v>
      </c>
      <c r="D6">
        <v>241</v>
      </c>
      <c r="E6">
        <v>-64</v>
      </c>
    </row>
    <row r="7" spans="1:5" x14ac:dyDescent="0.25">
      <c r="A7">
        <v>6</v>
      </c>
      <c r="B7" t="s">
        <v>10</v>
      </c>
      <c r="C7">
        <v>187.5</v>
      </c>
      <c r="D7">
        <v>221.3</v>
      </c>
      <c r="E7">
        <v>-15</v>
      </c>
    </row>
    <row r="8" spans="1:5" x14ac:dyDescent="0.25">
      <c r="A8">
        <v>7</v>
      </c>
      <c r="B8" t="s">
        <v>11</v>
      </c>
      <c r="C8">
        <v>83.3</v>
      </c>
      <c r="D8">
        <v>219.7</v>
      </c>
      <c r="E8">
        <v>-62</v>
      </c>
    </row>
    <row r="9" spans="1:5" x14ac:dyDescent="0.25">
      <c r="A9">
        <v>8</v>
      </c>
      <c r="B9" t="s">
        <v>12</v>
      </c>
      <c r="C9">
        <v>65.2</v>
      </c>
      <c r="D9">
        <v>207.2</v>
      </c>
      <c r="E9">
        <v>-69</v>
      </c>
    </row>
    <row r="10" spans="1:5" x14ac:dyDescent="0.25">
      <c r="A10">
        <v>9</v>
      </c>
      <c r="B10" t="s">
        <v>13</v>
      </c>
      <c r="C10">
        <v>107.4</v>
      </c>
      <c r="D10">
        <v>172.2</v>
      </c>
      <c r="E10">
        <v>-38</v>
      </c>
    </row>
    <row r="11" spans="1:5" x14ac:dyDescent="0.25">
      <c r="A11">
        <v>10</v>
      </c>
      <c r="B11" t="s">
        <v>14</v>
      </c>
      <c r="C11">
        <v>96.5</v>
      </c>
      <c r="D11">
        <v>186.6</v>
      </c>
      <c r="E11">
        <v>-48</v>
      </c>
    </row>
    <row r="12" spans="1:5" x14ac:dyDescent="0.25">
      <c r="A12">
        <v>11</v>
      </c>
      <c r="B12" t="s">
        <v>15</v>
      </c>
      <c r="C12">
        <v>63</v>
      </c>
      <c r="D12">
        <v>211.1</v>
      </c>
      <c r="E12">
        <v>-70</v>
      </c>
    </row>
    <row r="13" spans="1:5" x14ac:dyDescent="0.25">
      <c r="A13">
        <v>12</v>
      </c>
      <c r="B13" t="s">
        <v>16</v>
      </c>
      <c r="C13">
        <v>102.3</v>
      </c>
      <c r="D13">
        <v>174.7</v>
      </c>
      <c r="E13">
        <v>-41</v>
      </c>
    </row>
    <row r="14" spans="1:5" x14ac:dyDescent="0.25">
      <c r="A14">
        <v>13</v>
      </c>
      <c r="B14" t="s">
        <v>17</v>
      </c>
      <c r="C14">
        <v>60</v>
      </c>
      <c r="D14">
        <v>216.8</v>
      </c>
      <c r="E14">
        <v>-72</v>
      </c>
    </row>
    <row r="15" spans="1:5" x14ac:dyDescent="0.25">
      <c r="A15">
        <v>14</v>
      </c>
      <c r="B15" t="s">
        <v>18</v>
      </c>
      <c r="C15">
        <v>83.5</v>
      </c>
      <c r="D15">
        <v>185.1</v>
      </c>
      <c r="E15">
        <v>-55</v>
      </c>
    </row>
    <row r="16" spans="1:5" x14ac:dyDescent="0.25">
      <c r="A16">
        <v>15</v>
      </c>
      <c r="B16" t="s">
        <v>19</v>
      </c>
      <c r="C16">
        <v>52.3</v>
      </c>
      <c r="D16">
        <v>218.7</v>
      </c>
      <c r="E16">
        <v>-76</v>
      </c>
    </row>
    <row r="17" spans="1:5" x14ac:dyDescent="0.25">
      <c r="A17">
        <v>16</v>
      </c>
      <c r="B17" t="s">
        <v>20</v>
      </c>
      <c r="C17">
        <v>77.099999999999994</v>
      </c>
      <c r="D17">
        <v>262</v>
      </c>
      <c r="E17">
        <v>-71</v>
      </c>
    </row>
    <row r="18" spans="1:5" x14ac:dyDescent="0.25">
      <c r="A18">
        <v>17</v>
      </c>
      <c r="B18" t="s">
        <v>21</v>
      </c>
      <c r="C18">
        <v>91.4</v>
      </c>
      <c r="D18">
        <v>225.7</v>
      </c>
      <c r="E18">
        <v>-60</v>
      </c>
    </row>
    <row r="19" spans="1:5" x14ac:dyDescent="0.25">
      <c r="A19">
        <v>18</v>
      </c>
      <c r="B19" t="s">
        <v>22</v>
      </c>
      <c r="C19">
        <v>211.3</v>
      </c>
      <c r="D19">
        <v>354.5</v>
      </c>
      <c r="E19">
        <v>-40</v>
      </c>
    </row>
    <row r="20" spans="1:5" x14ac:dyDescent="0.25">
      <c r="A20">
        <v>19</v>
      </c>
      <c r="B20" t="s">
        <v>23</v>
      </c>
      <c r="C20">
        <v>51.9</v>
      </c>
      <c r="D20">
        <v>200.6</v>
      </c>
      <c r="E20">
        <v>-74</v>
      </c>
    </row>
    <row r="21" spans="1:5" x14ac:dyDescent="0.25">
      <c r="A21">
        <v>20</v>
      </c>
      <c r="B21" t="s">
        <v>24</v>
      </c>
      <c r="C21">
        <v>169.5</v>
      </c>
      <c r="D21">
        <v>250.1</v>
      </c>
      <c r="E21">
        <v>-32</v>
      </c>
    </row>
    <row r="22" spans="1:5" x14ac:dyDescent="0.25">
      <c r="A22">
        <v>21</v>
      </c>
      <c r="B22" t="s">
        <v>25</v>
      </c>
      <c r="C22">
        <v>142.80000000000001</v>
      </c>
      <c r="D22">
        <v>180.9</v>
      </c>
      <c r="E22">
        <v>-21</v>
      </c>
    </row>
    <row r="23" spans="1:5" x14ac:dyDescent="0.25">
      <c r="A23">
        <v>22</v>
      </c>
      <c r="B23" t="s">
        <v>26</v>
      </c>
      <c r="C23">
        <v>105</v>
      </c>
      <c r="D23">
        <v>225.9</v>
      </c>
      <c r="E23">
        <v>-54</v>
      </c>
    </row>
    <row r="24" spans="1:5" x14ac:dyDescent="0.25">
      <c r="A24">
        <v>23</v>
      </c>
      <c r="B24" t="s">
        <v>27</v>
      </c>
      <c r="C24">
        <v>57.3</v>
      </c>
      <c r="D24">
        <v>216.7</v>
      </c>
      <c r="E24">
        <v>-74</v>
      </c>
    </row>
    <row r="25" spans="1:5" x14ac:dyDescent="0.25">
      <c r="A25">
        <v>24</v>
      </c>
      <c r="B25" t="s">
        <v>28</v>
      </c>
      <c r="C25">
        <v>102.8</v>
      </c>
      <c r="D25">
        <v>191.6</v>
      </c>
      <c r="E25">
        <v>-46</v>
      </c>
    </row>
    <row r="26" spans="1:5" x14ac:dyDescent="0.25">
      <c r="A26">
        <v>25</v>
      </c>
      <c r="B26" t="s">
        <v>29</v>
      </c>
      <c r="C26">
        <v>162.5</v>
      </c>
      <c r="D26">
        <v>178.4</v>
      </c>
      <c r="E26">
        <v>-9</v>
      </c>
    </row>
    <row r="27" spans="1:5" x14ac:dyDescent="0.25">
      <c r="A27">
        <v>26</v>
      </c>
      <c r="B27" t="s">
        <v>30</v>
      </c>
      <c r="C27">
        <v>96.8</v>
      </c>
      <c r="D27">
        <v>203.3</v>
      </c>
      <c r="E27">
        <v>-52</v>
      </c>
    </row>
    <row r="28" spans="1:5" x14ac:dyDescent="0.25">
      <c r="A28">
        <v>27</v>
      </c>
      <c r="B28" t="s">
        <v>31</v>
      </c>
      <c r="C28">
        <v>159.80000000000001</v>
      </c>
      <c r="D28">
        <v>308.89999999999998</v>
      </c>
      <c r="E28">
        <v>-48</v>
      </c>
    </row>
    <row r="29" spans="1:5" x14ac:dyDescent="0.25">
      <c r="A29">
        <v>28</v>
      </c>
      <c r="B29" t="s">
        <v>32</v>
      </c>
      <c r="C29">
        <v>147.9</v>
      </c>
      <c r="D29">
        <v>190.1</v>
      </c>
      <c r="E29">
        <v>-22</v>
      </c>
    </row>
    <row r="30" spans="1:5" x14ac:dyDescent="0.25">
      <c r="A30">
        <v>29</v>
      </c>
      <c r="B30" t="s">
        <v>33</v>
      </c>
      <c r="C30">
        <v>73.2</v>
      </c>
      <c r="D30">
        <v>236.4</v>
      </c>
      <c r="E30">
        <v>-69</v>
      </c>
    </row>
    <row r="31" spans="1:5" x14ac:dyDescent="0.25">
      <c r="A31">
        <v>30</v>
      </c>
      <c r="B31" t="s">
        <v>34</v>
      </c>
      <c r="C31">
        <v>109.1</v>
      </c>
      <c r="D31">
        <v>223</v>
      </c>
      <c r="E31">
        <v>-51</v>
      </c>
    </row>
    <row r="32" spans="1:5" x14ac:dyDescent="0.25">
      <c r="A32">
        <v>31</v>
      </c>
      <c r="B32" t="s">
        <v>35</v>
      </c>
      <c r="C32">
        <v>59.2</v>
      </c>
      <c r="D32">
        <v>195.8</v>
      </c>
      <c r="E32">
        <v>-70</v>
      </c>
    </row>
    <row r="33" spans="1:5" x14ac:dyDescent="0.25">
      <c r="A33">
        <v>32</v>
      </c>
      <c r="B33" t="s">
        <v>36</v>
      </c>
      <c r="C33">
        <v>79.7</v>
      </c>
      <c r="D33">
        <v>181.7</v>
      </c>
      <c r="E33">
        <v>-56</v>
      </c>
    </row>
    <row r="34" spans="1:5" x14ac:dyDescent="0.25">
      <c r="A34">
        <v>33</v>
      </c>
      <c r="B34" t="s">
        <v>37</v>
      </c>
      <c r="C34">
        <v>37.700000000000003</v>
      </c>
      <c r="D34">
        <v>206</v>
      </c>
      <c r="E34">
        <v>-82</v>
      </c>
    </row>
    <row r="35" spans="1:5" x14ac:dyDescent="0.25">
      <c r="A35">
        <v>34</v>
      </c>
      <c r="B35" t="s">
        <v>38</v>
      </c>
      <c r="C35">
        <v>90.2</v>
      </c>
      <c r="D35">
        <v>188.6</v>
      </c>
      <c r="E35">
        <v>-52</v>
      </c>
    </row>
    <row r="36" spans="1:5" x14ac:dyDescent="0.25">
      <c r="A36">
        <v>35</v>
      </c>
      <c r="B36" t="s">
        <v>39</v>
      </c>
      <c r="C36">
        <v>76.2</v>
      </c>
      <c r="D36">
        <v>212.9</v>
      </c>
      <c r="E36">
        <v>-64</v>
      </c>
    </row>
    <row r="37" spans="1:5" x14ac:dyDescent="0.25">
      <c r="A37">
        <v>36</v>
      </c>
      <c r="B37" t="s">
        <v>40</v>
      </c>
      <c r="C37">
        <v>143.4</v>
      </c>
      <c r="D37">
        <v>228.5</v>
      </c>
      <c r="E37">
        <v>-37</v>
      </c>
    </row>
    <row r="38" spans="1:5" x14ac:dyDescent="0.25">
      <c r="A38">
        <v>37</v>
      </c>
      <c r="B38" t="s">
        <v>41</v>
      </c>
      <c r="C38">
        <v>88.5</v>
      </c>
      <c r="D38">
        <v>199.4</v>
      </c>
      <c r="E38">
        <v>-56</v>
      </c>
    </row>
    <row r="39" spans="1:5" x14ac:dyDescent="0.25">
      <c r="A39">
        <v>38</v>
      </c>
      <c r="B39" t="s">
        <v>42</v>
      </c>
      <c r="C39">
        <v>202.6</v>
      </c>
      <c r="D39">
        <v>237.1</v>
      </c>
      <c r="E39">
        <v>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A518-9993-4DFC-B109-7361F8BD8C89}">
  <dimension ref="A1:F39"/>
  <sheetViews>
    <sheetView tabSelected="1" workbookViewId="0">
      <selection activeCell="F9" sqref="F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47</v>
      </c>
      <c r="D1" t="s">
        <v>48</v>
      </c>
      <c r="E1" t="s">
        <v>4</v>
      </c>
    </row>
    <row r="2" spans="1:6" x14ac:dyDescent="0.25">
      <c r="A2">
        <v>1</v>
      </c>
      <c r="B2" t="s">
        <v>5</v>
      </c>
      <c r="C2">
        <v>1001.6</v>
      </c>
      <c r="D2">
        <v>1374.6</v>
      </c>
      <c r="E2">
        <v>-27</v>
      </c>
      <c r="F2" s="1"/>
    </row>
    <row r="3" spans="1:6" x14ac:dyDescent="0.25">
      <c r="A3">
        <v>2</v>
      </c>
      <c r="B3" t="s">
        <v>6</v>
      </c>
      <c r="C3">
        <v>498.8</v>
      </c>
      <c r="D3">
        <v>705.2</v>
      </c>
      <c r="E3">
        <v>-29</v>
      </c>
      <c r="F3" s="1"/>
    </row>
    <row r="4" spans="1:6" x14ac:dyDescent="0.25">
      <c r="A4">
        <v>3</v>
      </c>
      <c r="B4" t="s">
        <v>7</v>
      </c>
      <c r="C4">
        <v>700</v>
      </c>
      <c r="D4">
        <v>859</v>
      </c>
      <c r="E4">
        <v>-19</v>
      </c>
      <c r="F4" s="1"/>
    </row>
    <row r="5" spans="1:6" x14ac:dyDescent="0.25">
      <c r="A5">
        <v>4</v>
      </c>
      <c r="B5" t="s">
        <v>8</v>
      </c>
      <c r="C5">
        <v>952.6</v>
      </c>
      <c r="D5">
        <v>870.6</v>
      </c>
      <c r="E5">
        <v>9</v>
      </c>
      <c r="F5" s="1"/>
    </row>
    <row r="6" spans="1:6" x14ac:dyDescent="0.25">
      <c r="A6">
        <v>5</v>
      </c>
      <c r="B6" t="s">
        <v>9</v>
      </c>
      <c r="C6">
        <v>612.5</v>
      </c>
      <c r="D6">
        <v>1009.5</v>
      </c>
      <c r="E6">
        <v>-39</v>
      </c>
      <c r="F6" s="1"/>
    </row>
    <row r="7" spans="1:6" x14ac:dyDescent="0.25">
      <c r="A7">
        <v>6</v>
      </c>
      <c r="B7" t="s">
        <v>10</v>
      </c>
      <c r="C7">
        <v>849.5</v>
      </c>
      <c r="D7">
        <v>890.2</v>
      </c>
      <c r="E7">
        <v>-5</v>
      </c>
      <c r="F7" s="1"/>
    </row>
    <row r="8" spans="1:6" x14ac:dyDescent="0.25">
      <c r="A8">
        <v>7</v>
      </c>
      <c r="B8" t="s">
        <v>11</v>
      </c>
      <c r="C8">
        <v>923.4</v>
      </c>
      <c r="D8">
        <v>970.2</v>
      </c>
      <c r="E8">
        <v>-5</v>
      </c>
      <c r="F8" s="1"/>
    </row>
    <row r="9" spans="1:6" x14ac:dyDescent="0.25">
      <c r="A9">
        <v>8</v>
      </c>
      <c r="B9" t="s">
        <v>12</v>
      </c>
      <c r="C9">
        <v>568.20000000000005</v>
      </c>
      <c r="D9">
        <v>889.3</v>
      </c>
      <c r="E9">
        <v>-36</v>
      </c>
      <c r="F9" s="1"/>
    </row>
    <row r="10" spans="1:6" x14ac:dyDescent="0.25">
      <c r="A10">
        <v>9</v>
      </c>
      <c r="B10" t="s">
        <v>13</v>
      </c>
      <c r="C10">
        <v>1060.0999999999999</v>
      </c>
      <c r="D10">
        <v>785.4</v>
      </c>
      <c r="E10">
        <v>35</v>
      </c>
      <c r="F10" s="1"/>
    </row>
    <row r="11" spans="1:6" x14ac:dyDescent="0.25">
      <c r="A11">
        <v>10</v>
      </c>
      <c r="B11" t="s">
        <v>14</v>
      </c>
      <c r="C11">
        <v>636.20000000000005</v>
      </c>
      <c r="D11">
        <v>899.6</v>
      </c>
      <c r="E11">
        <v>-29</v>
      </c>
      <c r="F11" s="1"/>
    </row>
    <row r="12" spans="1:6" x14ac:dyDescent="0.25">
      <c r="A12">
        <v>11</v>
      </c>
      <c r="B12" t="s">
        <v>15</v>
      </c>
      <c r="C12">
        <v>637</v>
      </c>
      <c r="D12">
        <v>1055.2</v>
      </c>
      <c r="E12">
        <v>-40</v>
      </c>
      <c r="F12" s="1"/>
    </row>
    <row r="13" spans="1:6" x14ac:dyDescent="0.25">
      <c r="A13">
        <v>12</v>
      </c>
      <c r="B13" t="s">
        <v>16</v>
      </c>
      <c r="C13">
        <v>760.7</v>
      </c>
      <c r="D13">
        <v>828.3</v>
      </c>
      <c r="E13">
        <v>-8</v>
      </c>
      <c r="F13" s="1"/>
    </row>
    <row r="14" spans="1:6" x14ac:dyDescent="0.25">
      <c r="A14">
        <v>13</v>
      </c>
      <c r="B14" t="s">
        <v>17</v>
      </c>
      <c r="C14">
        <v>761.1</v>
      </c>
      <c r="D14">
        <v>968.6</v>
      </c>
      <c r="E14">
        <v>-21</v>
      </c>
      <c r="F14" s="1"/>
    </row>
    <row r="15" spans="1:6" x14ac:dyDescent="0.25">
      <c r="A15">
        <v>14</v>
      </c>
      <c r="B15" t="s">
        <v>18</v>
      </c>
      <c r="C15">
        <v>485.5</v>
      </c>
      <c r="D15">
        <v>832.9</v>
      </c>
      <c r="E15">
        <v>-42</v>
      </c>
      <c r="F15" s="1"/>
    </row>
    <row r="16" spans="1:6" x14ac:dyDescent="0.25">
      <c r="A16">
        <v>15</v>
      </c>
      <c r="B16" t="s">
        <v>19</v>
      </c>
      <c r="C16">
        <v>598.29999999999995</v>
      </c>
      <c r="D16">
        <v>936.4</v>
      </c>
      <c r="E16">
        <v>-36</v>
      </c>
      <c r="F16" s="1"/>
    </row>
    <row r="17" spans="1:6" x14ac:dyDescent="0.25">
      <c r="A17">
        <v>16</v>
      </c>
      <c r="B17" t="s">
        <v>20</v>
      </c>
      <c r="C17">
        <v>653.29999999999995</v>
      </c>
      <c r="D17">
        <v>1078.9000000000001</v>
      </c>
      <c r="E17">
        <v>-39</v>
      </c>
      <c r="F17" s="1"/>
    </row>
    <row r="18" spans="1:6" x14ac:dyDescent="0.25">
      <c r="A18">
        <v>17</v>
      </c>
      <c r="B18" t="s">
        <v>21</v>
      </c>
      <c r="C18">
        <v>596.5</v>
      </c>
      <c r="D18">
        <v>971.3</v>
      </c>
      <c r="E18">
        <v>-39</v>
      </c>
      <c r="F18" s="1"/>
    </row>
    <row r="19" spans="1:6" x14ac:dyDescent="0.25">
      <c r="A19">
        <v>18</v>
      </c>
      <c r="B19" t="s">
        <v>22</v>
      </c>
      <c r="C19">
        <v>1487.3</v>
      </c>
      <c r="D19">
        <v>1746.2</v>
      </c>
      <c r="E19">
        <v>-15</v>
      </c>
      <c r="F19" s="1"/>
    </row>
    <row r="20" spans="1:6" x14ac:dyDescent="0.25">
      <c r="A20">
        <v>19</v>
      </c>
      <c r="B20" t="s">
        <v>23</v>
      </c>
      <c r="C20">
        <v>610.6</v>
      </c>
      <c r="D20">
        <v>850.3</v>
      </c>
      <c r="E20">
        <v>-28</v>
      </c>
      <c r="F20" s="1"/>
    </row>
    <row r="21" spans="1:6" x14ac:dyDescent="0.25">
      <c r="A21">
        <v>20</v>
      </c>
      <c r="B21" t="s">
        <v>24</v>
      </c>
      <c r="C21">
        <v>853.6</v>
      </c>
      <c r="D21">
        <v>1046.3</v>
      </c>
      <c r="E21">
        <v>-18</v>
      </c>
      <c r="F21" s="1"/>
    </row>
    <row r="22" spans="1:6" x14ac:dyDescent="0.25">
      <c r="A22">
        <v>21</v>
      </c>
      <c r="B22" t="s">
        <v>25</v>
      </c>
      <c r="C22">
        <v>971.2</v>
      </c>
      <c r="D22">
        <v>972.1</v>
      </c>
      <c r="E22">
        <v>0</v>
      </c>
      <c r="F22" s="1"/>
    </row>
    <row r="23" spans="1:6" x14ac:dyDescent="0.25">
      <c r="A23">
        <v>22</v>
      </c>
      <c r="B23" t="s">
        <v>26</v>
      </c>
      <c r="C23">
        <v>705.3</v>
      </c>
      <c r="D23">
        <v>1019.9</v>
      </c>
      <c r="E23">
        <v>-31</v>
      </c>
      <c r="F23" s="1"/>
    </row>
    <row r="24" spans="1:6" x14ac:dyDescent="0.25">
      <c r="A24">
        <v>23</v>
      </c>
      <c r="B24" t="s">
        <v>27</v>
      </c>
      <c r="C24">
        <v>536.6</v>
      </c>
      <c r="D24">
        <v>967.8</v>
      </c>
      <c r="E24">
        <v>-45</v>
      </c>
      <c r="F24" s="1"/>
    </row>
    <row r="25" spans="1:6" x14ac:dyDescent="0.25">
      <c r="A25">
        <v>24</v>
      </c>
      <c r="B25" t="s">
        <v>28</v>
      </c>
      <c r="C25">
        <v>606.20000000000005</v>
      </c>
      <c r="D25">
        <v>852.8</v>
      </c>
      <c r="E25">
        <v>-29</v>
      </c>
      <c r="F25" s="1"/>
    </row>
    <row r="26" spans="1:6" x14ac:dyDescent="0.25">
      <c r="A26">
        <v>25</v>
      </c>
      <c r="B26" t="s">
        <v>29</v>
      </c>
      <c r="C26">
        <v>727.7</v>
      </c>
      <c r="D26">
        <v>826.5</v>
      </c>
      <c r="E26">
        <v>-12</v>
      </c>
      <c r="F26" s="1"/>
    </row>
    <row r="27" spans="1:6" x14ac:dyDescent="0.25">
      <c r="A27">
        <v>26</v>
      </c>
      <c r="B27" t="s">
        <v>30</v>
      </c>
      <c r="C27">
        <v>623.6</v>
      </c>
      <c r="D27">
        <v>886.9</v>
      </c>
      <c r="E27">
        <v>-30</v>
      </c>
      <c r="F27" s="1"/>
    </row>
    <row r="28" spans="1:6" x14ac:dyDescent="0.25">
      <c r="A28">
        <v>27</v>
      </c>
      <c r="B28" t="s">
        <v>31</v>
      </c>
      <c r="C28">
        <v>1013</v>
      </c>
      <c r="D28">
        <v>1411.8</v>
      </c>
      <c r="E28">
        <v>-28</v>
      </c>
      <c r="F28" s="1"/>
    </row>
    <row r="29" spans="1:6" x14ac:dyDescent="0.25">
      <c r="A29">
        <v>28</v>
      </c>
      <c r="B29" t="s">
        <v>32</v>
      </c>
      <c r="C29">
        <v>662.6</v>
      </c>
      <c r="D29">
        <v>842.3</v>
      </c>
      <c r="E29">
        <v>-21</v>
      </c>
      <c r="F29" s="1"/>
    </row>
    <row r="30" spans="1:6" x14ac:dyDescent="0.25">
      <c r="A30">
        <v>29</v>
      </c>
      <c r="B30" t="s">
        <v>33</v>
      </c>
      <c r="C30">
        <v>603.29999999999995</v>
      </c>
      <c r="D30">
        <v>1083.3</v>
      </c>
      <c r="E30">
        <v>-44</v>
      </c>
      <c r="F30" s="1"/>
    </row>
    <row r="31" spans="1:6" x14ac:dyDescent="0.25">
      <c r="A31">
        <v>30</v>
      </c>
      <c r="B31" t="s">
        <v>34</v>
      </c>
      <c r="C31">
        <v>773.4</v>
      </c>
      <c r="D31">
        <v>945.7</v>
      </c>
      <c r="E31">
        <v>-18</v>
      </c>
      <c r="F31" s="1"/>
    </row>
    <row r="32" spans="1:6" x14ac:dyDescent="0.25">
      <c r="A32">
        <v>31</v>
      </c>
      <c r="B32" t="s">
        <v>35</v>
      </c>
      <c r="C32">
        <v>452</v>
      </c>
      <c r="D32">
        <v>899.4</v>
      </c>
      <c r="E32">
        <v>-50</v>
      </c>
      <c r="F32" s="1"/>
    </row>
    <row r="33" spans="1:6" x14ac:dyDescent="0.25">
      <c r="A33">
        <v>32</v>
      </c>
      <c r="B33" t="s">
        <v>36</v>
      </c>
      <c r="C33">
        <v>555.4</v>
      </c>
      <c r="D33">
        <v>818</v>
      </c>
      <c r="E33">
        <v>-32</v>
      </c>
      <c r="F33" s="1"/>
    </row>
    <row r="34" spans="1:6" x14ac:dyDescent="0.25">
      <c r="A34">
        <v>33</v>
      </c>
      <c r="B34" t="s">
        <v>37</v>
      </c>
      <c r="C34">
        <v>692.2</v>
      </c>
      <c r="D34">
        <v>1008.7</v>
      </c>
      <c r="E34">
        <v>-31</v>
      </c>
      <c r="F34" s="1"/>
    </row>
    <row r="35" spans="1:6" x14ac:dyDescent="0.25">
      <c r="A35">
        <v>34</v>
      </c>
      <c r="B35" t="s">
        <v>38</v>
      </c>
      <c r="C35">
        <v>871.3</v>
      </c>
      <c r="D35">
        <v>1060.3</v>
      </c>
      <c r="E35">
        <v>-18</v>
      </c>
      <c r="F35" s="1"/>
    </row>
    <row r="36" spans="1:6" x14ac:dyDescent="0.25">
      <c r="A36">
        <v>35</v>
      </c>
      <c r="B36" t="s">
        <v>39</v>
      </c>
      <c r="C36">
        <v>556.9</v>
      </c>
      <c r="D36">
        <v>901</v>
      </c>
      <c r="E36">
        <v>-38</v>
      </c>
      <c r="F36" s="1"/>
    </row>
    <row r="37" spans="1:6" x14ac:dyDescent="0.25">
      <c r="A37">
        <v>36</v>
      </c>
      <c r="B37" t="s">
        <v>40</v>
      </c>
      <c r="C37">
        <v>782.9</v>
      </c>
      <c r="D37">
        <v>1085.7</v>
      </c>
      <c r="E37">
        <v>-28</v>
      </c>
      <c r="F37" s="1"/>
    </row>
    <row r="38" spans="1:6" x14ac:dyDescent="0.25">
      <c r="A38">
        <v>37</v>
      </c>
      <c r="B38" t="s">
        <v>41</v>
      </c>
      <c r="C38">
        <v>524.20000000000005</v>
      </c>
      <c r="D38">
        <v>905.4</v>
      </c>
      <c r="E38">
        <v>-42</v>
      </c>
      <c r="F38" s="1"/>
    </row>
    <row r="39" spans="1:6" x14ac:dyDescent="0.25">
      <c r="A39">
        <v>38</v>
      </c>
      <c r="B39" t="s">
        <v>42</v>
      </c>
      <c r="C39">
        <v>1297.4000000000001</v>
      </c>
      <c r="D39">
        <v>1232.2</v>
      </c>
      <c r="E39">
        <v>5</v>
      </c>
      <c r="F3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2E1D-075F-469B-B4B7-336B09E081E8}">
  <dimension ref="A1:L39"/>
  <sheetViews>
    <sheetView workbookViewId="0">
      <selection activeCell="M9" sqref="M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46</v>
      </c>
      <c r="D1" t="s">
        <v>43</v>
      </c>
      <c r="E1" t="s">
        <v>44</v>
      </c>
      <c r="F1" t="s">
        <v>45</v>
      </c>
      <c r="G1" t="s">
        <v>47</v>
      </c>
      <c r="H1" t="s">
        <v>46</v>
      </c>
      <c r="I1" t="s">
        <v>43</v>
      </c>
      <c r="J1" t="s">
        <v>44</v>
      </c>
      <c r="K1" t="s">
        <v>45</v>
      </c>
      <c r="L1" t="s">
        <v>48</v>
      </c>
    </row>
    <row r="2" spans="1:12" x14ac:dyDescent="0.25">
      <c r="A2">
        <v>1</v>
      </c>
      <c r="B2" t="s">
        <v>5</v>
      </c>
      <c r="C2">
        <f>june!C2</f>
        <v>93.7</v>
      </c>
      <c r="D2">
        <f>july!C2</f>
        <v>332.1</v>
      </c>
      <c r="E2">
        <f>august!C2</f>
        <v>363.9</v>
      </c>
      <c r="F2">
        <f>september!C2</f>
        <v>211.9</v>
      </c>
      <c r="G2">
        <f>SUM(C2:F2)</f>
        <v>1001.6</v>
      </c>
      <c r="H2">
        <f>june!D2</f>
        <v>262.60000000000002</v>
      </c>
      <c r="I2">
        <f>july!D2</f>
        <v>487.1</v>
      </c>
      <c r="J2">
        <f>august!D2</f>
        <v>340.9</v>
      </c>
      <c r="K2">
        <f>september!D2</f>
        <v>284</v>
      </c>
      <c r="L2">
        <f>SUM(H2:K2)</f>
        <v>1374.6</v>
      </c>
    </row>
    <row r="3" spans="1:12" x14ac:dyDescent="0.25">
      <c r="A3">
        <v>2</v>
      </c>
      <c r="B3" t="s">
        <v>6</v>
      </c>
      <c r="C3">
        <f>june!C3</f>
        <v>42.3</v>
      </c>
      <c r="D3">
        <f>july!C3</f>
        <v>156.6</v>
      </c>
      <c r="E3">
        <f>august!C3</f>
        <v>203.6</v>
      </c>
      <c r="F3">
        <f>september!C3</f>
        <v>96.3</v>
      </c>
      <c r="G3">
        <f t="shared" ref="G3:G39" si="0">SUM(C3:F3)</f>
        <v>498.8</v>
      </c>
      <c r="H3">
        <f>june!D3</f>
        <v>91.8</v>
      </c>
      <c r="I3">
        <f>july!D3</f>
        <v>249.1</v>
      </c>
      <c r="J3">
        <f>august!D3</f>
        <v>204.5</v>
      </c>
      <c r="K3">
        <f>september!D3</f>
        <v>159.80000000000001</v>
      </c>
      <c r="L3">
        <f t="shared" ref="L3:L39" si="1">SUM(H3:K3)</f>
        <v>705.2</v>
      </c>
    </row>
    <row r="4" spans="1:12" x14ac:dyDescent="0.25">
      <c r="A4">
        <v>3</v>
      </c>
      <c r="B4" t="s">
        <v>7</v>
      </c>
      <c r="C4">
        <f>june!C4</f>
        <v>55.2</v>
      </c>
      <c r="D4">
        <f>july!C4</f>
        <v>311.7</v>
      </c>
      <c r="E4">
        <f>august!C4</f>
        <v>200.9</v>
      </c>
      <c r="F4">
        <f>september!C4</f>
        <v>132.30000000000001</v>
      </c>
      <c r="G4">
        <f t="shared" si="0"/>
        <v>700.09999999999991</v>
      </c>
      <c r="H4">
        <f>june!D4</f>
        <v>126.8</v>
      </c>
      <c r="I4">
        <f>july!D4</f>
        <v>293.5</v>
      </c>
      <c r="J4">
        <f>august!D4</f>
        <v>251</v>
      </c>
      <c r="K4">
        <f>september!D4</f>
        <v>187.7</v>
      </c>
      <c r="L4">
        <f t="shared" si="1"/>
        <v>859</v>
      </c>
    </row>
    <row r="5" spans="1:12" x14ac:dyDescent="0.25">
      <c r="A5">
        <v>4</v>
      </c>
      <c r="B5" t="s">
        <v>8</v>
      </c>
      <c r="C5">
        <f>june!C5</f>
        <v>165.2</v>
      </c>
      <c r="D5">
        <f>july!C5</f>
        <v>406.2</v>
      </c>
      <c r="E5">
        <f>august!C5</f>
        <v>309.7</v>
      </c>
      <c r="F5">
        <f>september!C5</f>
        <v>71.5</v>
      </c>
      <c r="G5">
        <f t="shared" si="0"/>
        <v>952.59999999999991</v>
      </c>
      <c r="H5">
        <f>june!D5</f>
        <v>139.5</v>
      </c>
      <c r="I5">
        <f>july!D5</f>
        <v>284.7</v>
      </c>
      <c r="J5">
        <f>august!D5</f>
        <v>247.7</v>
      </c>
      <c r="K5">
        <f>september!D5</f>
        <v>198.7</v>
      </c>
      <c r="L5">
        <f t="shared" si="1"/>
        <v>870.59999999999991</v>
      </c>
    </row>
    <row r="6" spans="1:12" x14ac:dyDescent="0.25">
      <c r="A6">
        <v>5</v>
      </c>
      <c r="B6" t="s">
        <v>9</v>
      </c>
      <c r="C6">
        <f>june!C6</f>
        <v>101.8</v>
      </c>
      <c r="D6">
        <f>july!C6</f>
        <v>140.6</v>
      </c>
      <c r="E6">
        <f>august!C6</f>
        <v>283.60000000000002</v>
      </c>
      <c r="F6">
        <f>september!C6</f>
        <v>86.5</v>
      </c>
      <c r="G6">
        <f t="shared" si="0"/>
        <v>612.5</v>
      </c>
      <c r="H6">
        <f>june!D6</f>
        <v>165.6</v>
      </c>
      <c r="I6">
        <f>july!D6</f>
        <v>329.1</v>
      </c>
      <c r="J6">
        <f>august!D6</f>
        <v>273.8</v>
      </c>
      <c r="K6">
        <f>september!D6</f>
        <v>241</v>
      </c>
      <c r="L6">
        <f t="shared" si="1"/>
        <v>1009.5</v>
      </c>
    </row>
    <row r="7" spans="1:12" x14ac:dyDescent="0.25">
      <c r="A7">
        <v>6</v>
      </c>
      <c r="B7" t="s">
        <v>10</v>
      </c>
      <c r="C7">
        <f>june!C7</f>
        <v>81.099999999999994</v>
      </c>
      <c r="D7">
        <f>july!C7</f>
        <v>364.6</v>
      </c>
      <c r="E7">
        <f>august!C7</f>
        <v>216.3</v>
      </c>
      <c r="F7">
        <f>september!C7</f>
        <v>187.5</v>
      </c>
      <c r="G7">
        <f t="shared" si="0"/>
        <v>849.5</v>
      </c>
      <c r="H7">
        <f>june!D7</f>
        <v>111.7</v>
      </c>
      <c r="I7">
        <f>july!D7</f>
        <v>286</v>
      </c>
      <c r="J7">
        <f>august!D7</f>
        <v>271.2</v>
      </c>
      <c r="K7">
        <f>september!D7</f>
        <v>221.3</v>
      </c>
      <c r="L7">
        <f t="shared" si="1"/>
        <v>890.2</v>
      </c>
    </row>
    <row r="8" spans="1:12" x14ac:dyDescent="0.25">
      <c r="A8">
        <v>7</v>
      </c>
      <c r="B8" t="s">
        <v>11</v>
      </c>
      <c r="C8">
        <f>june!C8</f>
        <v>156</v>
      </c>
      <c r="D8">
        <f>july!C8</f>
        <v>338.3</v>
      </c>
      <c r="E8">
        <f>august!C8</f>
        <v>345.9</v>
      </c>
      <c r="F8">
        <f>september!C8</f>
        <v>83.3</v>
      </c>
      <c r="G8">
        <f t="shared" si="0"/>
        <v>923.5</v>
      </c>
      <c r="H8">
        <f>june!D8</f>
        <v>179.5</v>
      </c>
      <c r="I8">
        <f>july!D8</f>
        <v>310.7</v>
      </c>
      <c r="J8">
        <f>august!D8</f>
        <v>260.3</v>
      </c>
      <c r="K8">
        <f>september!D8</f>
        <v>219.7</v>
      </c>
      <c r="L8">
        <f t="shared" si="1"/>
        <v>970.2</v>
      </c>
    </row>
    <row r="9" spans="1:12" x14ac:dyDescent="0.25">
      <c r="A9">
        <v>8</v>
      </c>
      <c r="B9" t="s">
        <v>12</v>
      </c>
      <c r="C9">
        <f>june!C9</f>
        <v>16.7</v>
      </c>
      <c r="D9">
        <f>july!C9</f>
        <v>289.89999999999998</v>
      </c>
      <c r="E9">
        <f>august!C9</f>
        <v>196.4</v>
      </c>
      <c r="F9">
        <f>september!C9</f>
        <v>65.2</v>
      </c>
      <c r="G9">
        <f t="shared" si="0"/>
        <v>568.20000000000005</v>
      </c>
      <c r="H9">
        <f>june!D9</f>
        <v>116.4</v>
      </c>
      <c r="I9">
        <f>july!D9</f>
        <v>306.8</v>
      </c>
      <c r="J9">
        <f>august!D9</f>
        <v>258.89999999999998</v>
      </c>
      <c r="K9">
        <f>september!D9</f>
        <v>207.2</v>
      </c>
      <c r="L9">
        <f t="shared" si="1"/>
        <v>889.3</v>
      </c>
    </row>
    <row r="10" spans="1:12" x14ac:dyDescent="0.25">
      <c r="A10">
        <v>9</v>
      </c>
      <c r="B10" t="s">
        <v>13</v>
      </c>
      <c r="C10">
        <f>june!C10</f>
        <v>79.400000000000006</v>
      </c>
      <c r="D10">
        <f>july!C10</f>
        <v>429.2</v>
      </c>
      <c r="E10">
        <f>august!C10</f>
        <v>444.1</v>
      </c>
      <c r="F10">
        <f>september!C10</f>
        <v>107.4</v>
      </c>
      <c r="G10">
        <f t="shared" si="0"/>
        <v>1060.1000000000001</v>
      </c>
      <c r="H10">
        <f>june!D10</f>
        <v>110.6</v>
      </c>
      <c r="I10">
        <f>july!D10</f>
        <v>270.60000000000002</v>
      </c>
      <c r="J10">
        <f>august!D10</f>
        <v>232</v>
      </c>
      <c r="K10">
        <f>september!D10</f>
        <v>172.2</v>
      </c>
      <c r="L10">
        <f t="shared" si="1"/>
        <v>785.40000000000009</v>
      </c>
    </row>
    <row r="11" spans="1:12" x14ac:dyDescent="0.25">
      <c r="A11">
        <v>10</v>
      </c>
      <c r="B11" t="s">
        <v>14</v>
      </c>
      <c r="C11">
        <f>june!C11</f>
        <v>97</v>
      </c>
      <c r="D11">
        <f>july!C11</f>
        <v>246.8</v>
      </c>
      <c r="E11">
        <f>august!C11</f>
        <v>195.9</v>
      </c>
      <c r="F11">
        <f>september!C11</f>
        <v>96.5</v>
      </c>
      <c r="G11">
        <f t="shared" si="0"/>
        <v>636.20000000000005</v>
      </c>
      <c r="H11">
        <f>june!D11</f>
        <v>145.1</v>
      </c>
      <c r="I11">
        <f>july!D11</f>
        <v>313.2</v>
      </c>
      <c r="J11">
        <f>august!D11</f>
        <v>254.7</v>
      </c>
      <c r="K11">
        <f>september!D11</f>
        <v>186.6</v>
      </c>
      <c r="L11">
        <f t="shared" si="1"/>
        <v>899.6</v>
      </c>
    </row>
    <row r="12" spans="1:12" x14ac:dyDescent="0.25">
      <c r="A12">
        <v>11</v>
      </c>
      <c r="B12" t="s">
        <v>15</v>
      </c>
      <c r="C12">
        <f>june!C12</f>
        <v>76</v>
      </c>
      <c r="D12">
        <f>july!C12</f>
        <v>258</v>
      </c>
      <c r="E12">
        <f>august!C12</f>
        <v>240.1</v>
      </c>
      <c r="F12">
        <f>september!C12</f>
        <v>63</v>
      </c>
      <c r="G12">
        <f t="shared" si="0"/>
        <v>637.1</v>
      </c>
      <c r="H12">
        <f>june!D12</f>
        <v>177.8</v>
      </c>
      <c r="I12">
        <f>july!D12</f>
        <v>364.3</v>
      </c>
      <c r="J12">
        <f>august!D12</f>
        <v>302</v>
      </c>
      <c r="K12">
        <f>september!D12</f>
        <v>211.1</v>
      </c>
      <c r="L12">
        <f t="shared" si="1"/>
        <v>1055.2</v>
      </c>
    </row>
    <row r="13" spans="1:12" x14ac:dyDescent="0.25">
      <c r="A13">
        <v>12</v>
      </c>
      <c r="B13" t="s">
        <v>16</v>
      </c>
      <c r="C13">
        <f>june!C13</f>
        <v>121.5</v>
      </c>
      <c r="D13">
        <f>july!C13</f>
        <v>285.5</v>
      </c>
      <c r="E13">
        <f>august!C13</f>
        <v>251.3</v>
      </c>
      <c r="F13">
        <f>september!C13</f>
        <v>102.3</v>
      </c>
      <c r="G13">
        <f t="shared" si="0"/>
        <v>760.59999999999991</v>
      </c>
      <c r="H13">
        <f>june!D13</f>
        <v>135.4</v>
      </c>
      <c r="I13">
        <f>july!D13</f>
        <v>276.60000000000002</v>
      </c>
      <c r="J13">
        <f>august!D13</f>
        <v>241.6</v>
      </c>
      <c r="K13">
        <f>september!D13</f>
        <v>174.7</v>
      </c>
      <c r="L13">
        <f t="shared" si="1"/>
        <v>828.3</v>
      </c>
    </row>
    <row r="14" spans="1:12" x14ac:dyDescent="0.25">
      <c r="A14">
        <v>13</v>
      </c>
      <c r="B14" t="s">
        <v>17</v>
      </c>
      <c r="C14">
        <f>june!C14</f>
        <v>51.1</v>
      </c>
      <c r="D14">
        <f>july!C14</f>
        <v>302</v>
      </c>
      <c r="E14">
        <f>august!C14</f>
        <v>348</v>
      </c>
      <c r="F14">
        <f>september!C14</f>
        <v>60</v>
      </c>
      <c r="G14">
        <f t="shared" si="0"/>
        <v>761.1</v>
      </c>
      <c r="H14">
        <f>june!D14</f>
        <v>142.80000000000001</v>
      </c>
      <c r="I14">
        <f>july!D14</f>
        <v>336.3</v>
      </c>
      <c r="J14">
        <f>august!D14</f>
        <v>272.7</v>
      </c>
      <c r="K14">
        <f>september!D14</f>
        <v>216.8</v>
      </c>
      <c r="L14">
        <f t="shared" si="1"/>
        <v>968.59999999999991</v>
      </c>
    </row>
    <row r="15" spans="1:12" x14ac:dyDescent="0.25">
      <c r="A15">
        <v>14</v>
      </c>
      <c r="B15" t="s">
        <v>18</v>
      </c>
      <c r="C15">
        <f>june!C15</f>
        <v>59.6</v>
      </c>
      <c r="D15">
        <f>july!C15</f>
        <v>228.8</v>
      </c>
      <c r="E15">
        <f>august!C15</f>
        <v>113.6</v>
      </c>
      <c r="F15">
        <f>september!C15</f>
        <v>83.5</v>
      </c>
      <c r="G15">
        <f t="shared" si="0"/>
        <v>485.5</v>
      </c>
      <c r="H15">
        <f>june!D15</f>
        <v>125.2</v>
      </c>
      <c r="I15">
        <f>july!D15</f>
        <v>284.39999999999998</v>
      </c>
      <c r="J15">
        <f>august!D15</f>
        <v>238.2</v>
      </c>
      <c r="K15">
        <f>september!D15</f>
        <v>185.1</v>
      </c>
      <c r="L15">
        <f t="shared" si="1"/>
        <v>832.9</v>
      </c>
    </row>
    <row r="16" spans="1:12" x14ac:dyDescent="0.25">
      <c r="A16">
        <v>15</v>
      </c>
      <c r="B16" t="s">
        <v>19</v>
      </c>
      <c r="C16">
        <f>june!C16</f>
        <v>49.1</v>
      </c>
      <c r="D16">
        <f>july!C16</f>
        <v>302.2</v>
      </c>
      <c r="E16">
        <f>august!C16</f>
        <v>194.8</v>
      </c>
      <c r="F16">
        <f>september!C16</f>
        <v>52.3</v>
      </c>
      <c r="G16">
        <f t="shared" si="0"/>
        <v>598.4</v>
      </c>
      <c r="H16">
        <f>june!D16</f>
        <v>147.4</v>
      </c>
      <c r="I16">
        <f>july!D16</f>
        <v>319.39999999999998</v>
      </c>
      <c r="J16">
        <f>august!D16</f>
        <v>250.9</v>
      </c>
      <c r="K16">
        <f>september!D16</f>
        <v>218.7</v>
      </c>
      <c r="L16">
        <f t="shared" si="1"/>
        <v>936.39999999999986</v>
      </c>
    </row>
    <row r="17" spans="1:12" x14ac:dyDescent="0.25">
      <c r="A17">
        <v>16</v>
      </c>
      <c r="B17" t="s">
        <v>20</v>
      </c>
      <c r="C17">
        <f>june!C17</f>
        <v>185.3</v>
      </c>
      <c r="D17">
        <f>july!C17</f>
        <v>185</v>
      </c>
      <c r="E17">
        <f>august!C17</f>
        <v>205.9</v>
      </c>
      <c r="F17">
        <f>september!C17</f>
        <v>77.099999999999994</v>
      </c>
      <c r="G17">
        <f t="shared" si="0"/>
        <v>653.30000000000007</v>
      </c>
      <c r="H17">
        <f>june!D17</f>
        <v>211.9</v>
      </c>
      <c r="I17">
        <f>july!D17</f>
        <v>349.2</v>
      </c>
      <c r="J17">
        <f>august!D17</f>
        <v>255.8</v>
      </c>
      <c r="K17">
        <f>september!D17</f>
        <v>262</v>
      </c>
      <c r="L17">
        <f t="shared" si="1"/>
        <v>1078.9000000000001</v>
      </c>
    </row>
    <row r="18" spans="1:12" x14ac:dyDescent="0.25">
      <c r="A18">
        <v>17</v>
      </c>
      <c r="B18" t="s">
        <v>21</v>
      </c>
      <c r="C18">
        <f>june!C18</f>
        <v>51.5</v>
      </c>
      <c r="D18">
        <f>july!C18</f>
        <v>216.2</v>
      </c>
      <c r="E18">
        <f>august!C18</f>
        <v>237.5</v>
      </c>
      <c r="F18">
        <f>september!C18</f>
        <v>91.4</v>
      </c>
      <c r="G18">
        <f t="shared" si="0"/>
        <v>596.6</v>
      </c>
      <c r="H18">
        <f>june!D18</f>
        <v>184.5</v>
      </c>
      <c r="I18">
        <f>july!D18</f>
        <v>309</v>
      </c>
      <c r="J18">
        <f>august!D18</f>
        <v>252.1</v>
      </c>
      <c r="K18">
        <f>september!D18</f>
        <v>225.7</v>
      </c>
      <c r="L18">
        <f t="shared" si="1"/>
        <v>971.3</v>
      </c>
    </row>
    <row r="19" spans="1:12" x14ac:dyDescent="0.25">
      <c r="A19">
        <v>18</v>
      </c>
      <c r="B19" t="s">
        <v>22</v>
      </c>
      <c r="C19">
        <f>june!C19</f>
        <v>304.3</v>
      </c>
      <c r="D19">
        <f>july!C19</f>
        <v>535.70000000000005</v>
      </c>
      <c r="E19">
        <f>august!C19</f>
        <v>436</v>
      </c>
      <c r="F19">
        <f>september!C19</f>
        <v>211.3</v>
      </c>
      <c r="G19">
        <f t="shared" si="0"/>
        <v>1487.3</v>
      </c>
      <c r="H19">
        <f>june!D19</f>
        <v>342.6</v>
      </c>
      <c r="I19">
        <f>july!D19</f>
        <v>597.4</v>
      </c>
      <c r="J19">
        <f>august!D19</f>
        <v>451.7</v>
      </c>
      <c r="K19">
        <f>september!D19</f>
        <v>354.5</v>
      </c>
      <c r="L19">
        <f t="shared" si="1"/>
        <v>1746.2</v>
      </c>
    </row>
    <row r="20" spans="1:12" x14ac:dyDescent="0.25">
      <c r="A20">
        <v>19</v>
      </c>
      <c r="B20" t="s">
        <v>23</v>
      </c>
      <c r="C20">
        <f>june!C20</f>
        <v>122.5</v>
      </c>
      <c r="D20">
        <f>july!C20</f>
        <v>273.2</v>
      </c>
      <c r="E20">
        <f>august!C20</f>
        <v>163</v>
      </c>
      <c r="F20">
        <f>september!C20</f>
        <v>51.9</v>
      </c>
      <c r="G20">
        <f t="shared" si="0"/>
        <v>610.6</v>
      </c>
      <c r="H20">
        <f>june!D20</f>
        <v>121.7</v>
      </c>
      <c r="I20">
        <f>july!D20</f>
        <v>305.3</v>
      </c>
      <c r="J20">
        <f>august!D20</f>
        <v>222.7</v>
      </c>
      <c r="K20">
        <f>september!D20</f>
        <v>200.6</v>
      </c>
      <c r="L20">
        <f t="shared" si="1"/>
        <v>850.30000000000007</v>
      </c>
    </row>
    <row r="21" spans="1:12" x14ac:dyDescent="0.25">
      <c r="A21">
        <v>20</v>
      </c>
      <c r="B21" t="s">
        <v>24</v>
      </c>
      <c r="C21">
        <f>june!C21</f>
        <v>207.5</v>
      </c>
      <c r="D21">
        <f>july!C21</f>
        <v>218.9</v>
      </c>
      <c r="E21">
        <f>august!C21</f>
        <v>257.8</v>
      </c>
      <c r="F21">
        <f>september!C21</f>
        <v>169.5</v>
      </c>
      <c r="G21">
        <f t="shared" si="0"/>
        <v>853.7</v>
      </c>
      <c r="H21">
        <f>june!D21</f>
        <v>197.5</v>
      </c>
      <c r="I21">
        <f>july!D21</f>
        <v>332.8</v>
      </c>
      <c r="J21">
        <f>august!D21</f>
        <v>265.89999999999998</v>
      </c>
      <c r="K21">
        <f>september!D21</f>
        <v>250.1</v>
      </c>
      <c r="L21">
        <f t="shared" si="1"/>
        <v>1046.3</v>
      </c>
    </row>
    <row r="22" spans="1:12" x14ac:dyDescent="0.25">
      <c r="A22">
        <v>21</v>
      </c>
      <c r="B22" t="s">
        <v>25</v>
      </c>
      <c r="C22">
        <f>june!C22</f>
        <v>152.1</v>
      </c>
      <c r="D22">
        <f>july!C22</f>
        <v>420.9</v>
      </c>
      <c r="E22">
        <f>august!C22</f>
        <v>255.4</v>
      </c>
      <c r="F22">
        <f>september!C22</f>
        <v>142.80000000000001</v>
      </c>
      <c r="G22">
        <f t="shared" si="0"/>
        <v>971.2</v>
      </c>
      <c r="H22">
        <f>june!D22</f>
        <v>169.2</v>
      </c>
      <c r="I22">
        <f>july!D22</f>
        <v>353.5</v>
      </c>
      <c r="J22">
        <f>august!D22</f>
        <v>268.5</v>
      </c>
      <c r="K22">
        <f>september!D22</f>
        <v>180.9</v>
      </c>
      <c r="L22">
        <f t="shared" si="1"/>
        <v>972.1</v>
      </c>
    </row>
    <row r="23" spans="1:12" x14ac:dyDescent="0.25">
      <c r="A23">
        <v>22</v>
      </c>
      <c r="B23" t="s">
        <v>26</v>
      </c>
      <c r="C23">
        <f>june!C23</f>
        <v>59.3</v>
      </c>
      <c r="D23">
        <f>july!C23</f>
        <v>275.2</v>
      </c>
      <c r="E23">
        <f>august!C23</f>
        <v>265.8</v>
      </c>
      <c r="F23">
        <f>september!C23</f>
        <v>105</v>
      </c>
      <c r="G23">
        <f t="shared" si="0"/>
        <v>705.3</v>
      </c>
      <c r="H23">
        <f>june!D23</f>
        <v>164</v>
      </c>
      <c r="I23">
        <f>july!D23</f>
        <v>353.9</v>
      </c>
      <c r="J23">
        <f>august!D23</f>
        <v>276.10000000000002</v>
      </c>
      <c r="K23">
        <f>september!D23</f>
        <v>225.9</v>
      </c>
      <c r="L23">
        <f t="shared" si="1"/>
        <v>1019.9</v>
      </c>
    </row>
    <row r="24" spans="1:12" x14ac:dyDescent="0.25">
      <c r="A24">
        <v>23</v>
      </c>
      <c r="B24" t="s">
        <v>27</v>
      </c>
      <c r="C24">
        <f>june!C24</f>
        <v>54</v>
      </c>
      <c r="D24">
        <f>july!C24</f>
        <v>188.2</v>
      </c>
      <c r="E24">
        <f>august!C24</f>
        <v>237.1</v>
      </c>
      <c r="F24">
        <f>september!C24</f>
        <v>57.3</v>
      </c>
      <c r="G24">
        <f t="shared" si="0"/>
        <v>536.59999999999991</v>
      </c>
      <c r="H24">
        <f>june!D24</f>
        <v>157</v>
      </c>
      <c r="I24">
        <f>july!D24</f>
        <v>332.2</v>
      </c>
      <c r="J24">
        <f>august!D24</f>
        <v>261.89999999999998</v>
      </c>
      <c r="K24">
        <f>september!D24</f>
        <v>216.7</v>
      </c>
      <c r="L24">
        <f t="shared" si="1"/>
        <v>967.8</v>
      </c>
    </row>
    <row r="25" spans="1:12" x14ac:dyDescent="0.25">
      <c r="A25">
        <v>24</v>
      </c>
      <c r="B25" t="s">
        <v>28</v>
      </c>
      <c r="C25">
        <f>june!C25</f>
        <v>85.6</v>
      </c>
      <c r="D25">
        <f>july!C25</f>
        <v>221.8</v>
      </c>
      <c r="E25">
        <f>august!C25</f>
        <v>196</v>
      </c>
      <c r="F25">
        <f>september!C25</f>
        <v>102.8</v>
      </c>
      <c r="G25">
        <f t="shared" si="0"/>
        <v>606.19999999999993</v>
      </c>
      <c r="H25">
        <f>june!D25</f>
        <v>119.2</v>
      </c>
      <c r="I25">
        <f>july!D25</f>
        <v>304.3</v>
      </c>
      <c r="J25">
        <f>august!D25</f>
        <v>237.7</v>
      </c>
      <c r="K25">
        <f>september!D25</f>
        <v>191.6</v>
      </c>
      <c r="L25">
        <f t="shared" si="1"/>
        <v>852.80000000000007</v>
      </c>
    </row>
    <row r="26" spans="1:12" x14ac:dyDescent="0.25">
      <c r="A26">
        <v>25</v>
      </c>
      <c r="B26" t="s">
        <v>29</v>
      </c>
      <c r="C26">
        <f>june!C26</f>
        <v>64.900000000000006</v>
      </c>
      <c r="D26">
        <f>july!C26</f>
        <v>292.5</v>
      </c>
      <c r="E26">
        <f>august!C26</f>
        <v>207.8</v>
      </c>
      <c r="F26">
        <f>september!C26</f>
        <v>162.5</v>
      </c>
      <c r="G26">
        <f t="shared" si="0"/>
        <v>727.7</v>
      </c>
      <c r="H26">
        <f>june!D26</f>
        <v>124.3</v>
      </c>
      <c r="I26">
        <f>july!D26</f>
        <v>281.39999999999998</v>
      </c>
      <c r="J26">
        <f>august!D26</f>
        <v>242.4</v>
      </c>
      <c r="K26">
        <f>september!D26</f>
        <v>178.4</v>
      </c>
      <c r="L26">
        <f t="shared" si="1"/>
        <v>826.5</v>
      </c>
    </row>
    <row r="27" spans="1:12" x14ac:dyDescent="0.25">
      <c r="A27">
        <v>26</v>
      </c>
      <c r="B27" t="s">
        <v>30</v>
      </c>
      <c r="C27">
        <f>june!C27</f>
        <v>42</v>
      </c>
      <c r="D27">
        <f>july!C27</f>
        <v>260.3</v>
      </c>
      <c r="E27">
        <f>august!C27</f>
        <v>224.6</v>
      </c>
      <c r="F27">
        <f>september!C27</f>
        <v>96.8</v>
      </c>
      <c r="G27">
        <f t="shared" si="0"/>
        <v>623.69999999999993</v>
      </c>
      <c r="H27">
        <f>june!D27</f>
        <v>130.19999999999999</v>
      </c>
      <c r="I27">
        <f>july!D27</f>
        <v>315.60000000000002</v>
      </c>
      <c r="J27">
        <f>august!D27</f>
        <v>237.8</v>
      </c>
      <c r="K27">
        <f>september!D27</f>
        <v>203.3</v>
      </c>
      <c r="L27">
        <f t="shared" si="1"/>
        <v>886.90000000000009</v>
      </c>
    </row>
    <row r="28" spans="1:12" x14ac:dyDescent="0.25">
      <c r="A28">
        <v>27</v>
      </c>
      <c r="B28" t="s">
        <v>31</v>
      </c>
      <c r="C28">
        <f>june!C28</f>
        <v>214.8</v>
      </c>
      <c r="D28">
        <f>july!C28</f>
        <v>244.2</v>
      </c>
      <c r="E28">
        <f>august!C28</f>
        <v>394.3</v>
      </c>
      <c r="F28">
        <f>september!C28</f>
        <v>159.80000000000001</v>
      </c>
      <c r="G28">
        <f t="shared" si="0"/>
        <v>1013.0999999999999</v>
      </c>
      <c r="H28">
        <f>june!D28</f>
        <v>279.7</v>
      </c>
      <c r="I28">
        <f>july!D28</f>
        <v>476.3</v>
      </c>
      <c r="J28">
        <f>august!D28</f>
        <v>346.9</v>
      </c>
      <c r="K28">
        <f>september!D28</f>
        <v>308.89999999999998</v>
      </c>
      <c r="L28">
        <f t="shared" si="1"/>
        <v>1411.8000000000002</v>
      </c>
    </row>
    <row r="29" spans="1:12" x14ac:dyDescent="0.25">
      <c r="A29">
        <v>28</v>
      </c>
      <c r="B29" t="s">
        <v>32</v>
      </c>
      <c r="C29">
        <f>june!C29</f>
        <v>73.3</v>
      </c>
      <c r="D29">
        <f>july!C29</f>
        <v>221.8</v>
      </c>
      <c r="E29">
        <f>august!C29</f>
        <v>219.7</v>
      </c>
      <c r="F29">
        <f>september!C29</f>
        <v>147.9</v>
      </c>
      <c r="G29">
        <f t="shared" si="0"/>
        <v>662.69999999999993</v>
      </c>
      <c r="H29">
        <f>june!D29</f>
        <v>115.4</v>
      </c>
      <c r="I29">
        <f>july!D29</f>
        <v>288.8</v>
      </c>
      <c r="J29">
        <f>august!D29</f>
        <v>248</v>
      </c>
      <c r="K29">
        <f>september!D29</f>
        <v>190.1</v>
      </c>
      <c r="L29">
        <f t="shared" si="1"/>
        <v>842.30000000000007</v>
      </c>
    </row>
    <row r="30" spans="1:12" x14ac:dyDescent="0.25">
      <c r="A30">
        <v>29</v>
      </c>
      <c r="B30" t="s">
        <v>33</v>
      </c>
      <c r="C30">
        <f>june!C30</f>
        <v>117.2</v>
      </c>
      <c r="D30">
        <f>july!C30</f>
        <v>141.30000000000001</v>
      </c>
      <c r="E30">
        <f>august!C30</f>
        <v>271.60000000000002</v>
      </c>
      <c r="F30">
        <f>september!C30</f>
        <v>73.2</v>
      </c>
      <c r="G30">
        <f t="shared" si="0"/>
        <v>603.30000000000007</v>
      </c>
      <c r="H30">
        <f>june!D30</f>
        <v>195.6</v>
      </c>
      <c r="I30">
        <f>july!D30</f>
        <v>375.3</v>
      </c>
      <c r="J30">
        <f>august!D30</f>
        <v>276</v>
      </c>
      <c r="K30">
        <f>september!D30</f>
        <v>236.4</v>
      </c>
      <c r="L30">
        <f t="shared" si="1"/>
        <v>1083.3</v>
      </c>
    </row>
    <row r="31" spans="1:12" x14ac:dyDescent="0.25">
      <c r="A31">
        <v>30</v>
      </c>
      <c r="B31" t="s">
        <v>34</v>
      </c>
      <c r="C31">
        <f>june!C31</f>
        <v>79.599999999999994</v>
      </c>
      <c r="D31">
        <f>july!C31</f>
        <v>230.1</v>
      </c>
      <c r="E31">
        <f>august!C31</f>
        <v>354.5</v>
      </c>
      <c r="F31">
        <f>september!C31</f>
        <v>109.1</v>
      </c>
      <c r="G31">
        <f t="shared" si="0"/>
        <v>773.30000000000007</v>
      </c>
      <c r="H31">
        <f>june!D31</f>
        <v>158.4</v>
      </c>
      <c r="I31">
        <f>july!D31</f>
        <v>309.5</v>
      </c>
      <c r="J31">
        <f>august!D31</f>
        <v>254.8</v>
      </c>
      <c r="K31">
        <f>september!D31</f>
        <v>223</v>
      </c>
      <c r="L31">
        <f t="shared" si="1"/>
        <v>945.7</v>
      </c>
    </row>
    <row r="32" spans="1:12" x14ac:dyDescent="0.25">
      <c r="A32">
        <v>31</v>
      </c>
      <c r="B32" t="s">
        <v>35</v>
      </c>
      <c r="C32">
        <f>june!C32</f>
        <v>29.3</v>
      </c>
      <c r="D32">
        <f>july!C32</f>
        <v>182.2</v>
      </c>
      <c r="E32">
        <f>august!C32</f>
        <v>181.3</v>
      </c>
      <c r="F32">
        <f>september!C32</f>
        <v>59.2</v>
      </c>
      <c r="G32">
        <f t="shared" si="0"/>
        <v>452</v>
      </c>
      <c r="H32">
        <f>june!D32</f>
        <v>129.69999999999999</v>
      </c>
      <c r="I32">
        <f>july!D32</f>
        <v>315.89999999999998</v>
      </c>
      <c r="J32">
        <f>august!D32</f>
        <v>258</v>
      </c>
      <c r="K32">
        <f>september!D32</f>
        <v>195.8</v>
      </c>
      <c r="L32">
        <f t="shared" si="1"/>
        <v>899.39999999999986</v>
      </c>
    </row>
    <row r="33" spans="1:12" x14ac:dyDescent="0.25">
      <c r="A33">
        <v>32</v>
      </c>
      <c r="B33" t="s">
        <v>36</v>
      </c>
      <c r="C33">
        <f>june!C33</f>
        <v>35.200000000000003</v>
      </c>
      <c r="D33">
        <f>july!C33</f>
        <v>293.10000000000002</v>
      </c>
      <c r="E33">
        <f>august!C33</f>
        <v>147.4</v>
      </c>
      <c r="F33">
        <f>september!C33</f>
        <v>79.7</v>
      </c>
      <c r="G33">
        <f t="shared" si="0"/>
        <v>555.40000000000009</v>
      </c>
      <c r="H33">
        <f>june!D33</f>
        <v>130.1</v>
      </c>
      <c r="I33">
        <f>july!D33</f>
        <v>296.60000000000002</v>
      </c>
      <c r="J33">
        <f>august!D33</f>
        <v>209.6</v>
      </c>
      <c r="K33">
        <f>september!D33</f>
        <v>181.7</v>
      </c>
      <c r="L33">
        <f t="shared" si="1"/>
        <v>818</v>
      </c>
    </row>
    <row r="34" spans="1:12" x14ac:dyDescent="0.25">
      <c r="A34">
        <v>33</v>
      </c>
      <c r="B34" t="s">
        <v>37</v>
      </c>
      <c r="C34">
        <f>june!C34</f>
        <v>99.4</v>
      </c>
      <c r="D34">
        <f>july!C34</f>
        <v>360.8</v>
      </c>
      <c r="E34">
        <f>august!C34</f>
        <v>194.3</v>
      </c>
      <c r="F34">
        <f>september!C34</f>
        <v>37.700000000000003</v>
      </c>
      <c r="G34">
        <f t="shared" si="0"/>
        <v>692.2</v>
      </c>
      <c r="H34">
        <f>june!D34</f>
        <v>179.1</v>
      </c>
      <c r="I34">
        <f>july!D34</f>
        <v>356.7</v>
      </c>
      <c r="J34">
        <f>august!D34</f>
        <v>266.89999999999998</v>
      </c>
      <c r="K34">
        <f>september!D34</f>
        <v>206</v>
      </c>
      <c r="L34">
        <f t="shared" si="1"/>
        <v>1008.6999999999999</v>
      </c>
    </row>
    <row r="35" spans="1:12" x14ac:dyDescent="0.25">
      <c r="A35">
        <v>34</v>
      </c>
      <c r="B35" t="s">
        <v>38</v>
      </c>
      <c r="C35">
        <f>june!C35</f>
        <v>100.3</v>
      </c>
      <c r="D35">
        <f>july!C35</f>
        <v>405.8</v>
      </c>
      <c r="E35">
        <f>august!C35</f>
        <v>275</v>
      </c>
      <c r="F35">
        <f>september!C35</f>
        <v>90.2</v>
      </c>
      <c r="G35">
        <f t="shared" si="0"/>
        <v>871.30000000000007</v>
      </c>
      <c r="H35">
        <f>june!D35</f>
        <v>188.9</v>
      </c>
      <c r="I35">
        <f>july!D35</f>
        <v>375.5</v>
      </c>
      <c r="J35">
        <f>august!D35</f>
        <v>307.3</v>
      </c>
      <c r="K35">
        <f>september!D35</f>
        <v>188.6</v>
      </c>
      <c r="L35">
        <f t="shared" si="1"/>
        <v>1060.3</v>
      </c>
    </row>
    <row r="36" spans="1:12" x14ac:dyDescent="0.25">
      <c r="A36">
        <v>35</v>
      </c>
      <c r="B36" t="s">
        <v>39</v>
      </c>
      <c r="C36">
        <f>june!C36</f>
        <v>32.4</v>
      </c>
      <c r="D36">
        <f>july!C36</f>
        <v>209.6</v>
      </c>
      <c r="E36">
        <f>august!C36</f>
        <v>238.7</v>
      </c>
      <c r="F36">
        <f>september!C36</f>
        <v>76.2</v>
      </c>
      <c r="G36">
        <f t="shared" si="0"/>
        <v>556.9</v>
      </c>
      <c r="H36">
        <f>june!D36</f>
        <v>130.80000000000001</v>
      </c>
      <c r="I36">
        <f>july!D36</f>
        <v>308.3</v>
      </c>
      <c r="J36">
        <f>august!D36</f>
        <v>249</v>
      </c>
      <c r="K36">
        <f>september!D36</f>
        <v>212.9</v>
      </c>
      <c r="L36">
        <f t="shared" si="1"/>
        <v>901</v>
      </c>
    </row>
    <row r="37" spans="1:12" x14ac:dyDescent="0.25">
      <c r="A37">
        <v>36</v>
      </c>
      <c r="B37" t="s">
        <v>40</v>
      </c>
      <c r="C37">
        <f>june!C37</f>
        <v>150.5</v>
      </c>
      <c r="D37">
        <f>july!C37</f>
        <v>258.60000000000002</v>
      </c>
      <c r="E37">
        <f>august!C37</f>
        <v>230.4</v>
      </c>
      <c r="F37">
        <f>september!C37</f>
        <v>143.4</v>
      </c>
      <c r="G37">
        <f t="shared" si="0"/>
        <v>782.9</v>
      </c>
      <c r="H37">
        <f>june!D37</f>
        <v>203.4</v>
      </c>
      <c r="I37">
        <f>july!D37</f>
        <v>391.3</v>
      </c>
      <c r="J37">
        <f>august!D37</f>
        <v>262.5</v>
      </c>
      <c r="K37">
        <f>september!D37</f>
        <v>228.5</v>
      </c>
      <c r="L37">
        <f t="shared" si="1"/>
        <v>1085.7</v>
      </c>
    </row>
    <row r="38" spans="1:12" x14ac:dyDescent="0.25">
      <c r="A38">
        <v>37</v>
      </c>
      <c r="B38" t="s">
        <v>41</v>
      </c>
      <c r="C38">
        <f>june!C38</f>
        <v>6.6</v>
      </c>
      <c r="D38">
        <f>july!C38</f>
        <v>174.3</v>
      </c>
      <c r="E38">
        <f>august!C38</f>
        <v>254.9</v>
      </c>
      <c r="F38">
        <f>september!C38</f>
        <v>88.5</v>
      </c>
      <c r="G38">
        <f t="shared" si="0"/>
        <v>524.29999999999995</v>
      </c>
      <c r="H38">
        <f>june!D38</f>
        <v>126.1</v>
      </c>
      <c r="I38">
        <f>july!D38</f>
        <v>335.6</v>
      </c>
      <c r="J38">
        <f>august!D38</f>
        <v>244.3</v>
      </c>
      <c r="K38">
        <f>september!D38</f>
        <v>199.4</v>
      </c>
      <c r="L38">
        <f t="shared" si="1"/>
        <v>905.4</v>
      </c>
    </row>
    <row r="39" spans="1:12" x14ac:dyDescent="0.25">
      <c r="A39">
        <v>38</v>
      </c>
      <c r="B39" t="s">
        <v>42</v>
      </c>
      <c r="C39">
        <f>june!C39</f>
        <v>144.69999999999999</v>
      </c>
      <c r="D39">
        <f>july!C39</f>
        <v>521.70000000000005</v>
      </c>
      <c r="E39">
        <f>august!C39</f>
        <v>428.5</v>
      </c>
      <c r="F39">
        <f>september!C39</f>
        <v>202.6</v>
      </c>
      <c r="G39">
        <f t="shared" si="0"/>
        <v>1297.5</v>
      </c>
      <c r="H39">
        <f>june!D39</f>
        <v>200.8</v>
      </c>
      <c r="I39">
        <f>july!D39</f>
        <v>438.5</v>
      </c>
      <c r="J39">
        <f>august!D39</f>
        <v>355.8</v>
      </c>
      <c r="K39">
        <f>september!D39</f>
        <v>237.1</v>
      </c>
      <c r="L39">
        <f t="shared" si="1"/>
        <v>1232.1999999999998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june</vt:lpstr>
      <vt:lpstr>july</vt:lpstr>
      <vt:lpstr>august</vt:lpstr>
      <vt:lpstr>september</vt:lpstr>
      <vt:lpstr>overall_monsoon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SWFC_SEAT03</dc:creator>
  <cp:lastModifiedBy>SWFC_SEAT03</cp:lastModifiedBy>
  <dcterms:created xsi:type="dcterms:W3CDTF">2015-06-05T18:17:20Z</dcterms:created>
  <dcterms:modified xsi:type="dcterms:W3CDTF">2025-12-17T07:36:00Z</dcterms:modified>
</cp:coreProperties>
</file>