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E:\Lal Kamal Project\Bihar Monsoon Report\data\2019\"/>
    </mc:Choice>
  </mc:AlternateContent>
  <xr:revisionPtr revIDLastSave="0" documentId="13_ncr:1_{5C720237-945B-478B-B23B-CB190FE84308}" xr6:coauthVersionLast="47" xr6:coauthVersionMax="47" xr10:uidLastSave="{00000000-0000-0000-0000-000000000000}"/>
  <bookViews>
    <workbookView xWindow="14295" yWindow="0" windowWidth="14610" windowHeight="15585" activeTab="3" xr2:uid="{00000000-000D-0000-FFFF-FFFF00000000}"/>
  </bookViews>
  <sheets>
    <sheet name="Jun" sheetId="1" r:id="rId1"/>
    <sheet name="Jul" sheetId="2" r:id="rId2"/>
    <sheet name="Aug" sheetId="3" r:id="rId3"/>
    <sheet name="Sep" sheetId="4" r:id="rId4"/>
    <sheet name="Monsoon" sheetId="6" r:id="rId5"/>
    <sheet name="Data" sheetId="5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H3" i="5" l="1"/>
  <c r="I3" i="5"/>
  <c r="J3" i="5"/>
  <c r="K3" i="5"/>
  <c r="H4" i="5"/>
  <c r="I4" i="5"/>
  <c r="J4" i="5"/>
  <c r="K4" i="5"/>
  <c r="L4" i="5" s="1"/>
  <c r="H5" i="5"/>
  <c r="L5" i="5" s="1"/>
  <c r="I5" i="5"/>
  <c r="J5" i="5"/>
  <c r="K5" i="5"/>
  <c r="H6" i="5"/>
  <c r="L6" i="5" s="1"/>
  <c r="I6" i="5"/>
  <c r="J6" i="5"/>
  <c r="K6" i="5"/>
  <c r="H7" i="5"/>
  <c r="L7" i="5" s="1"/>
  <c r="I7" i="5"/>
  <c r="J7" i="5"/>
  <c r="K7" i="5"/>
  <c r="H8" i="5"/>
  <c r="I8" i="5"/>
  <c r="J8" i="5"/>
  <c r="K8" i="5"/>
  <c r="H9" i="5"/>
  <c r="I9" i="5"/>
  <c r="J9" i="5"/>
  <c r="K9" i="5"/>
  <c r="H10" i="5"/>
  <c r="I10" i="5"/>
  <c r="J10" i="5"/>
  <c r="K10" i="5"/>
  <c r="H11" i="5"/>
  <c r="I11" i="5"/>
  <c r="J11" i="5"/>
  <c r="L11" i="5" s="1"/>
  <c r="K11" i="5"/>
  <c r="H12" i="5"/>
  <c r="L12" i="5" s="1"/>
  <c r="I12" i="5"/>
  <c r="J12" i="5"/>
  <c r="K12" i="5"/>
  <c r="H13" i="5"/>
  <c r="I13" i="5"/>
  <c r="J13" i="5"/>
  <c r="K13" i="5"/>
  <c r="H14" i="5"/>
  <c r="I14" i="5"/>
  <c r="J14" i="5"/>
  <c r="K14" i="5"/>
  <c r="H15" i="5"/>
  <c r="I15" i="5"/>
  <c r="J15" i="5"/>
  <c r="K15" i="5"/>
  <c r="H16" i="5"/>
  <c r="I16" i="5"/>
  <c r="J16" i="5"/>
  <c r="K16" i="5"/>
  <c r="H17" i="5"/>
  <c r="I17" i="5"/>
  <c r="J17" i="5"/>
  <c r="K17" i="5"/>
  <c r="H18" i="5"/>
  <c r="I18" i="5"/>
  <c r="L18" i="5" s="1"/>
  <c r="J18" i="5"/>
  <c r="K18" i="5"/>
  <c r="H19" i="5"/>
  <c r="L19" i="5" s="1"/>
  <c r="I19" i="5"/>
  <c r="J19" i="5"/>
  <c r="K19" i="5"/>
  <c r="H20" i="5"/>
  <c r="L20" i="5" s="1"/>
  <c r="I20" i="5"/>
  <c r="J20" i="5"/>
  <c r="K20" i="5"/>
  <c r="H21" i="5"/>
  <c r="L21" i="5" s="1"/>
  <c r="I21" i="5"/>
  <c r="J21" i="5"/>
  <c r="K21" i="5"/>
  <c r="H22" i="5"/>
  <c r="L22" i="5" s="1"/>
  <c r="I22" i="5"/>
  <c r="J22" i="5"/>
  <c r="K22" i="5"/>
  <c r="H23" i="5"/>
  <c r="I23" i="5"/>
  <c r="J23" i="5"/>
  <c r="K23" i="5"/>
  <c r="H24" i="5"/>
  <c r="I24" i="5"/>
  <c r="J24" i="5"/>
  <c r="K24" i="5"/>
  <c r="L24" i="5" s="1"/>
  <c r="H25" i="5"/>
  <c r="L25" i="5" s="1"/>
  <c r="I25" i="5"/>
  <c r="J25" i="5"/>
  <c r="K25" i="5"/>
  <c r="H26" i="5"/>
  <c r="L26" i="5" s="1"/>
  <c r="I26" i="5"/>
  <c r="J26" i="5"/>
  <c r="K26" i="5"/>
  <c r="H27" i="5"/>
  <c r="L27" i="5" s="1"/>
  <c r="I27" i="5"/>
  <c r="J27" i="5"/>
  <c r="K27" i="5"/>
  <c r="H28" i="5"/>
  <c r="I28" i="5"/>
  <c r="J28" i="5"/>
  <c r="K28" i="5"/>
  <c r="H29" i="5"/>
  <c r="I29" i="5"/>
  <c r="J29" i="5"/>
  <c r="K29" i="5"/>
  <c r="H30" i="5"/>
  <c r="I30" i="5"/>
  <c r="J30" i="5"/>
  <c r="K30" i="5"/>
  <c r="H31" i="5"/>
  <c r="I31" i="5"/>
  <c r="J31" i="5"/>
  <c r="L31" i="5" s="1"/>
  <c r="K31" i="5"/>
  <c r="H32" i="5"/>
  <c r="L32" i="5" s="1"/>
  <c r="I32" i="5"/>
  <c r="J32" i="5"/>
  <c r="K32" i="5"/>
  <c r="H33" i="5"/>
  <c r="I33" i="5"/>
  <c r="J33" i="5"/>
  <c r="K33" i="5"/>
  <c r="H34" i="5"/>
  <c r="I34" i="5"/>
  <c r="J34" i="5"/>
  <c r="K34" i="5"/>
  <c r="H35" i="5"/>
  <c r="I35" i="5"/>
  <c r="J35" i="5"/>
  <c r="K35" i="5"/>
  <c r="H36" i="5"/>
  <c r="I36" i="5"/>
  <c r="J36" i="5"/>
  <c r="K36" i="5"/>
  <c r="H37" i="5"/>
  <c r="I37" i="5"/>
  <c r="J37" i="5"/>
  <c r="K37" i="5"/>
  <c r="H38" i="5"/>
  <c r="I38" i="5"/>
  <c r="L38" i="5" s="1"/>
  <c r="J38" i="5"/>
  <c r="K38" i="5"/>
  <c r="H39" i="5"/>
  <c r="L39" i="5" s="1"/>
  <c r="I39" i="5"/>
  <c r="J39" i="5"/>
  <c r="K39" i="5"/>
  <c r="K2" i="5"/>
  <c r="J2" i="5"/>
  <c r="I2" i="5"/>
  <c r="H2" i="5"/>
  <c r="G2" i="5"/>
  <c r="D3" i="5"/>
  <c r="E3" i="5"/>
  <c r="F3" i="5"/>
  <c r="D4" i="5"/>
  <c r="E4" i="5"/>
  <c r="G4" i="5" s="1"/>
  <c r="F4" i="5"/>
  <c r="D5" i="5"/>
  <c r="G5" i="5" s="1"/>
  <c r="E5" i="5"/>
  <c r="F5" i="5"/>
  <c r="D6" i="5"/>
  <c r="G6" i="5" s="1"/>
  <c r="E6" i="5"/>
  <c r="F6" i="5"/>
  <c r="D7" i="5"/>
  <c r="E7" i="5"/>
  <c r="F7" i="5"/>
  <c r="G7" i="5" s="1"/>
  <c r="D8" i="5"/>
  <c r="E8" i="5"/>
  <c r="F8" i="5"/>
  <c r="D9" i="5"/>
  <c r="E9" i="5"/>
  <c r="F9" i="5"/>
  <c r="D10" i="5"/>
  <c r="E10" i="5"/>
  <c r="F10" i="5"/>
  <c r="D11" i="5"/>
  <c r="E11" i="5"/>
  <c r="F11" i="5"/>
  <c r="D12" i="5"/>
  <c r="E12" i="5"/>
  <c r="F12" i="5"/>
  <c r="D13" i="5"/>
  <c r="E13" i="5"/>
  <c r="F13" i="5"/>
  <c r="D14" i="5"/>
  <c r="E14" i="5"/>
  <c r="F14" i="5"/>
  <c r="D15" i="5"/>
  <c r="E15" i="5"/>
  <c r="F15" i="5"/>
  <c r="D16" i="5"/>
  <c r="E16" i="5"/>
  <c r="F16" i="5"/>
  <c r="D17" i="5"/>
  <c r="E17" i="5"/>
  <c r="F17" i="5"/>
  <c r="D18" i="5"/>
  <c r="E18" i="5"/>
  <c r="F18" i="5"/>
  <c r="D19" i="5"/>
  <c r="E19" i="5"/>
  <c r="F19" i="5"/>
  <c r="D20" i="5"/>
  <c r="E20" i="5"/>
  <c r="F20" i="5"/>
  <c r="D21" i="5"/>
  <c r="E21" i="5"/>
  <c r="F21" i="5"/>
  <c r="D22" i="5"/>
  <c r="E22" i="5"/>
  <c r="F22" i="5"/>
  <c r="D23" i="5"/>
  <c r="E23" i="5"/>
  <c r="F23" i="5"/>
  <c r="D24" i="5"/>
  <c r="E24" i="5"/>
  <c r="G24" i="5" s="1"/>
  <c r="F24" i="5"/>
  <c r="D25" i="5"/>
  <c r="G25" i="5" s="1"/>
  <c r="E25" i="5"/>
  <c r="F25" i="5"/>
  <c r="D26" i="5"/>
  <c r="E26" i="5"/>
  <c r="F26" i="5"/>
  <c r="D27" i="5"/>
  <c r="E27" i="5"/>
  <c r="F27" i="5"/>
  <c r="D28" i="5"/>
  <c r="E28" i="5"/>
  <c r="F28" i="5"/>
  <c r="D29" i="5"/>
  <c r="E29" i="5"/>
  <c r="F29" i="5"/>
  <c r="D30" i="5"/>
  <c r="E30" i="5"/>
  <c r="F30" i="5"/>
  <c r="D31" i="5"/>
  <c r="E31" i="5"/>
  <c r="F31" i="5"/>
  <c r="D32" i="5"/>
  <c r="E32" i="5"/>
  <c r="F32" i="5"/>
  <c r="D33" i="5"/>
  <c r="E33" i="5"/>
  <c r="F33" i="5"/>
  <c r="D34" i="5"/>
  <c r="E34" i="5"/>
  <c r="F34" i="5"/>
  <c r="D35" i="5"/>
  <c r="E35" i="5"/>
  <c r="F35" i="5"/>
  <c r="D36" i="5"/>
  <c r="E36" i="5"/>
  <c r="F36" i="5"/>
  <c r="D37" i="5"/>
  <c r="E37" i="5"/>
  <c r="F37" i="5"/>
  <c r="D38" i="5"/>
  <c r="E38" i="5"/>
  <c r="F38" i="5"/>
  <c r="D39" i="5"/>
  <c r="E39" i="5"/>
  <c r="F39" i="5"/>
  <c r="F2" i="5"/>
  <c r="E2" i="5"/>
  <c r="D2" i="5"/>
  <c r="C3" i="5"/>
  <c r="C4" i="5"/>
  <c r="C5" i="5"/>
  <c r="C6" i="5"/>
  <c r="C7" i="5"/>
  <c r="C8" i="5"/>
  <c r="G8" i="5" s="1"/>
  <c r="C9" i="5"/>
  <c r="G9" i="5" s="1"/>
  <c r="C10" i="5"/>
  <c r="G10" i="5" s="1"/>
  <c r="C11" i="5"/>
  <c r="C12" i="5"/>
  <c r="G12" i="5" s="1"/>
  <c r="C13" i="5"/>
  <c r="G13" i="5" s="1"/>
  <c r="C14" i="5"/>
  <c r="G14" i="5" s="1"/>
  <c r="C15" i="5"/>
  <c r="G15" i="5" s="1"/>
  <c r="C16" i="5"/>
  <c r="C17" i="5"/>
  <c r="C18" i="5"/>
  <c r="C19" i="5"/>
  <c r="G19" i="5" s="1"/>
  <c r="C20" i="5"/>
  <c r="C21" i="5"/>
  <c r="C22" i="5"/>
  <c r="C23" i="5"/>
  <c r="C24" i="5"/>
  <c r="C25" i="5"/>
  <c r="C26" i="5"/>
  <c r="C27" i="5"/>
  <c r="C28" i="5"/>
  <c r="C29" i="5"/>
  <c r="G29" i="5" s="1"/>
  <c r="C30" i="5"/>
  <c r="C31" i="5"/>
  <c r="C32" i="5"/>
  <c r="G32" i="5" s="1"/>
  <c r="C33" i="5"/>
  <c r="G33" i="5" s="1"/>
  <c r="C34" i="5"/>
  <c r="G34" i="5" s="1"/>
  <c r="C35" i="5"/>
  <c r="C36" i="5"/>
  <c r="C37" i="5"/>
  <c r="C38" i="5"/>
  <c r="C39" i="5"/>
  <c r="G39" i="5" s="1"/>
  <c r="C2" i="5"/>
  <c r="L3" i="5"/>
  <c r="L8" i="5"/>
  <c r="L9" i="5"/>
  <c r="L10" i="5"/>
  <c r="L13" i="5"/>
  <c r="L14" i="5"/>
  <c r="L15" i="5"/>
  <c r="L16" i="5"/>
  <c r="L17" i="5"/>
  <c r="L23" i="5"/>
  <c r="L28" i="5"/>
  <c r="L29" i="5"/>
  <c r="L30" i="5"/>
  <c r="L33" i="5"/>
  <c r="L34" i="5"/>
  <c r="L35" i="5"/>
  <c r="L36" i="5"/>
  <c r="L37" i="5"/>
  <c r="G26" i="5"/>
  <c r="G27" i="5"/>
  <c r="G28" i="5"/>
  <c r="L2" i="5" l="1"/>
  <c r="G23" i="5"/>
  <c r="G3" i="5"/>
  <c r="G22" i="5"/>
  <c r="G21" i="5"/>
  <c r="G20" i="5"/>
  <c r="G38" i="5"/>
  <c r="G18" i="5"/>
  <c r="G37" i="5"/>
  <c r="G17" i="5"/>
  <c r="G36" i="5"/>
  <c r="G16" i="5"/>
  <c r="G31" i="5"/>
  <c r="G11" i="5"/>
  <c r="G35" i="5"/>
  <c r="G30" i="5"/>
</calcChain>
</file>

<file path=xl/sharedStrings.xml><?xml version="1.0" encoding="utf-8"?>
<sst xmlns="http://schemas.openxmlformats.org/spreadsheetml/2006/main" count="379" uniqueCount="126">
  <si>
    <t>S. No.</t>
  </si>
  <si>
    <t>DISTRICT NAME</t>
  </si>
  <si>
    <t>Actual R/F (mm)</t>
  </si>
  <si>
    <t>Normal R/F (mm)</t>
  </si>
  <si>
    <t>Departure</t>
  </si>
  <si>
    <t>ARARIA</t>
  </si>
  <si>
    <t>ARWAL</t>
  </si>
  <si>
    <t>AURANGABAD</t>
  </si>
  <si>
    <t>BANKA</t>
  </si>
  <si>
    <t>BEGUSARAI</t>
  </si>
  <si>
    <t>BHABUA</t>
  </si>
  <si>
    <t>BHAGALPUR</t>
  </si>
  <si>
    <t>BHOJPUR</t>
  </si>
  <si>
    <t>BUXAR</t>
  </si>
  <si>
    <t>DARBHANGA</t>
  </si>
  <si>
    <t>EAST CHAMPARAN</t>
  </si>
  <si>
    <t>GAYA</t>
  </si>
  <si>
    <t>GOPALGANJ</t>
  </si>
  <si>
    <t>JAHANABAD</t>
  </si>
  <si>
    <t>JAMUI</t>
  </si>
  <si>
    <t>KATIHAR</t>
  </si>
  <si>
    <t>KHAGARIA</t>
  </si>
  <si>
    <t>KISHANGANJ</t>
  </si>
  <si>
    <t>LAKHISARAI</t>
  </si>
  <si>
    <t>MADHEPURA</t>
  </si>
  <si>
    <t>MADHUBANI</t>
  </si>
  <si>
    <t>MONGHYR</t>
  </si>
  <si>
    <t>MUZAFFARPUR</t>
  </si>
  <si>
    <t>NALANDA</t>
  </si>
  <si>
    <t>NAWADA</t>
  </si>
  <si>
    <t>PATNA</t>
  </si>
  <si>
    <t>PURNEA</t>
  </si>
  <si>
    <t>ROHTAS</t>
  </si>
  <si>
    <t>SAHARSA</t>
  </si>
  <si>
    <t>SAMASTIPUR</t>
  </si>
  <si>
    <t>SARAN</t>
  </si>
  <si>
    <t>SHEIKHPURA</t>
  </si>
  <si>
    <t>SHEOHAR</t>
  </si>
  <si>
    <t>SITAMARHI</t>
  </si>
  <si>
    <t>SIWAN</t>
  </si>
  <si>
    <t>SUPAUL</t>
  </si>
  <si>
    <t>VAISHALI</t>
  </si>
  <si>
    <t>WEST CHAMPARAN</t>
  </si>
  <si>
    <t>Jul</t>
  </si>
  <si>
    <t>Aug</t>
  </si>
  <si>
    <t>Sep</t>
  </si>
  <si>
    <t>Jun</t>
  </si>
  <si>
    <t>Monsoon Actual R/F (mm)</t>
  </si>
  <si>
    <t>Monsoon Normal R/F (mm)</t>
  </si>
  <si>
    <t>-24</t>
  </si>
  <si>
    <t>-67</t>
  </si>
  <si>
    <t>-88</t>
  </si>
  <si>
    <t>-59</t>
  </si>
  <si>
    <t>-25</t>
  </si>
  <si>
    <t>-60</t>
  </si>
  <si>
    <t>-72</t>
  </si>
  <si>
    <t>-38</t>
  </si>
  <si>
    <t>-34</t>
  </si>
  <si>
    <t>-46</t>
  </si>
  <si>
    <t>-54</t>
  </si>
  <si>
    <t>2</t>
  </si>
  <si>
    <t>-64</t>
  </si>
  <si>
    <t>-69</t>
  </si>
  <si>
    <t>-27</t>
  </si>
  <si>
    <t>-76</t>
  </si>
  <si>
    <t>-15</t>
  </si>
  <si>
    <t>-55</t>
  </si>
  <si>
    <t>-85</t>
  </si>
  <si>
    <t>-70</t>
  </si>
  <si>
    <t>-58</t>
  </si>
  <si>
    <t>-10</t>
  </si>
  <si>
    <t>-84</t>
  </si>
  <si>
    <t>-52</t>
  </si>
  <si>
    <t>-49</t>
  </si>
  <si>
    <t>-93</t>
  </si>
  <si>
    <t>-11</t>
  </si>
  <si>
    <t>-65</t>
  </si>
  <si>
    <t>88</t>
  </si>
  <si>
    <t>-61</t>
  </si>
  <si>
    <t>7</t>
  </si>
  <si>
    <t>-53</t>
  </si>
  <si>
    <t>-17</t>
  </si>
  <si>
    <t>-33</t>
  </si>
  <si>
    <t>-50</t>
  </si>
  <si>
    <t>-82</t>
  </si>
  <si>
    <t>-7</t>
  </si>
  <si>
    <t>-20</t>
  </si>
  <si>
    <t>-48</t>
  </si>
  <si>
    <t>-62</t>
  </si>
  <si>
    <t>-43</t>
  </si>
  <si>
    <t>-32</t>
  </si>
  <si>
    <t>-44</t>
  </si>
  <si>
    <t>-51</t>
  </si>
  <si>
    <t>-56</t>
  </si>
  <si>
    <t>-57</t>
  </si>
  <si>
    <t>58</t>
  </si>
  <si>
    <t>40</t>
  </si>
  <si>
    <t>77</t>
  </si>
  <si>
    <t>89</t>
  </si>
  <si>
    <t>85</t>
  </si>
  <si>
    <t>76</t>
  </si>
  <si>
    <t>129</t>
  </si>
  <si>
    <t>87</t>
  </si>
  <si>
    <t>81</t>
  </si>
  <si>
    <t>61</t>
  </si>
  <si>
    <t>106</t>
  </si>
  <si>
    <t>123</t>
  </si>
  <si>
    <t>112</t>
  </si>
  <si>
    <t>42</t>
  </si>
  <si>
    <t>53</t>
  </si>
  <si>
    <t>9</t>
  </si>
  <si>
    <t>41</t>
  </si>
  <si>
    <t>93</t>
  </si>
  <si>
    <t>100</t>
  </si>
  <si>
    <t>38</t>
  </si>
  <si>
    <t>168</t>
  </si>
  <si>
    <t>71</t>
  </si>
  <si>
    <t>90</t>
  </si>
  <si>
    <t>59</t>
  </si>
  <si>
    <t>172</t>
  </si>
  <si>
    <t>36</t>
  </si>
  <si>
    <t>56</t>
  </si>
  <si>
    <t>94</t>
  </si>
  <si>
    <t>115</t>
  </si>
  <si>
    <t>137</t>
  </si>
  <si>
    <t>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</si>
</sst>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39"/>
  <sheetViews>
    <sheetView workbookViewId="0">
      <selection activeCell="B1" sqref="B1:E1048576"/>
    </sheetView>
  </sheetViews>
  <sheetFormatPr defaultRowHeight="15" x14ac:dyDescent="0.25"/>
  <sheetData>
    <row r="1" spans="1: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 x14ac:dyDescent="0.25">
      <c r="A2">
        <v>1</v>
      </c>
      <c r="B2" t="s">
        <v>5</v>
      </c>
      <c r="C2">
        <v>198.7</v>
      </c>
      <c r="D2">
        <v>262.60000000000002</v>
      </c>
      <c r="E2" t="s">
        <v>49</v>
      </c>
    </row>
    <row r="3" spans="1:5" x14ac:dyDescent="0.25">
      <c r="A3">
        <v>2</v>
      </c>
      <c r="B3" t="s">
        <v>6</v>
      </c>
      <c r="C3">
        <v>30.7</v>
      </c>
      <c r="D3">
        <v>91.8</v>
      </c>
      <c r="E3" t="s">
        <v>50</v>
      </c>
    </row>
    <row r="4" spans="1:5" x14ac:dyDescent="0.25">
      <c r="A4">
        <v>3</v>
      </c>
      <c r="B4" t="s">
        <v>7</v>
      </c>
      <c r="C4">
        <v>15.2</v>
      </c>
      <c r="D4">
        <v>126.8</v>
      </c>
      <c r="E4" t="s">
        <v>51</v>
      </c>
    </row>
    <row r="5" spans="1:5" x14ac:dyDescent="0.25">
      <c r="A5">
        <v>4</v>
      </c>
      <c r="B5" t="s">
        <v>8</v>
      </c>
      <c r="C5">
        <v>56.7</v>
      </c>
      <c r="D5">
        <v>139.5</v>
      </c>
      <c r="E5" t="s">
        <v>52</v>
      </c>
    </row>
    <row r="6" spans="1:5" x14ac:dyDescent="0.25">
      <c r="A6">
        <v>5</v>
      </c>
      <c r="B6" t="s">
        <v>9</v>
      </c>
      <c r="C6">
        <v>19.2</v>
      </c>
      <c r="D6">
        <v>165.6</v>
      </c>
      <c r="E6" t="s">
        <v>51</v>
      </c>
    </row>
    <row r="7" spans="1:5" x14ac:dyDescent="0.25">
      <c r="A7">
        <v>6</v>
      </c>
      <c r="B7" t="s">
        <v>10</v>
      </c>
      <c r="C7">
        <v>83.9</v>
      </c>
      <c r="D7">
        <v>111.7</v>
      </c>
      <c r="E7" t="s">
        <v>53</v>
      </c>
    </row>
    <row r="8" spans="1:5" x14ac:dyDescent="0.25">
      <c r="A8">
        <v>7</v>
      </c>
      <c r="B8" t="s">
        <v>11</v>
      </c>
      <c r="C8">
        <v>71.099999999999994</v>
      </c>
      <c r="D8">
        <v>179.5</v>
      </c>
      <c r="E8" t="s">
        <v>54</v>
      </c>
    </row>
    <row r="9" spans="1:5" x14ac:dyDescent="0.25">
      <c r="A9">
        <v>8</v>
      </c>
      <c r="B9" t="s">
        <v>12</v>
      </c>
      <c r="C9">
        <v>32.6</v>
      </c>
      <c r="D9">
        <v>116.4</v>
      </c>
      <c r="E9" t="s">
        <v>55</v>
      </c>
    </row>
    <row r="10" spans="1:5" x14ac:dyDescent="0.25">
      <c r="A10">
        <v>9</v>
      </c>
      <c r="B10" t="s">
        <v>13</v>
      </c>
      <c r="C10">
        <v>68.599999999999994</v>
      </c>
      <c r="D10">
        <v>110.6</v>
      </c>
      <c r="E10" t="s">
        <v>56</v>
      </c>
    </row>
    <row r="11" spans="1:5" x14ac:dyDescent="0.25">
      <c r="A11">
        <v>10</v>
      </c>
      <c r="B11" t="s">
        <v>14</v>
      </c>
      <c r="C11">
        <v>96</v>
      </c>
      <c r="D11">
        <v>145.1</v>
      </c>
      <c r="E11" t="s">
        <v>57</v>
      </c>
    </row>
    <row r="12" spans="1:5" x14ac:dyDescent="0.25">
      <c r="A12">
        <v>11</v>
      </c>
      <c r="B12" t="s">
        <v>15</v>
      </c>
      <c r="C12">
        <v>95.3</v>
      </c>
      <c r="D12">
        <v>177.8</v>
      </c>
      <c r="E12" t="s">
        <v>58</v>
      </c>
    </row>
    <row r="13" spans="1:5" x14ac:dyDescent="0.25">
      <c r="A13">
        <v>12</v>
      </c>
      <c r="B13" t="s">
        <v>16</v>
      </c>
      <c r="C13">
        <v>62.7</v>
      </c>
      <c r="D13">
        <v>135.4</v>
      </c>
      <c r="E13" t="s">
        <v>59</v>
      </c>
    </row>
    <row r="14" spans="1:5" x14ac:dyDescent="0.25">
      <c r="A14">
        <v>13</v>
      </c>
      <c r="B14" t="s">
        <v>17</v>
      </c>
      <c r="C14">
        <v>145.80000000000001</v>
      </c>
      <c r="D14">
        <v>142.80000000000001</v>
      </c>
      <c r="E14" t="s">
        <v>60</v>
      </c>
    </row>
    <row r="15" spans="1:5" x14ac:dyDescent="0.25">
      <c r="A15">
        <v>14</v>
      </c>
      <c r="B15" t="s">
        <v>18</v>
      </c>
      <c r="C15">
        <v>45.6</v>
      </c>
      <c r="D15">
        <v>125.2</v>
      </c>
      <c r="E15" t="s">
        <v>61</v>
      </c>
    </row>
    <row r="16" spans="1:5" x14ac:dyDescent="0.25">
      <c r="A16">
        <v>15</v>
      </c>
      <c r="B16" t="s">
        <v>19</v>
      </c>
      <c r="C16">
        <v>48.8</v>
      </c>
      <c r="D16">
        <v>147.4</v>
      </c>
      <c r="E16" t="s">
        <v>50</v>
      </c>
    </row>
    <row r="17" spans="1:5" x14ac:dyDescent="0.25">
      <c r="A17">
        <v>16</v>
      </c>
      <c r="B17" t="s">
        <v>20</v>
      </c>
      <c r="C17">
        <v>114.8</v>
      </c>
      <c r="D17">
        <v>211.9</v>
      </c>
      <c r="E17" t="s">
        <v>58</v>
      </c>
    </row>
    <row r="18" spans="1:5" x14ac:dyDescent="0.25">
      <c r="A18">
        <v>17</v>
      </c>
      <c r="B18" t="s">
        <v>21</v>
      </c>
      <c r="C18">
        <v>57.8</v>
      </c>
      <c r="D18">
        <v>184.5</v>
      </c>
      <c r="E18" t="s">
        <v>62</v>
      </c>
    </row>
    <row r="19" spans="1:5" x14ac:dyDescent="0.25">
      <c r="A19">
        <v>18</v>
      </c>
      <c r="B19" t="s">
        <v>22</v>
      </c>
      <c r="C19">
        <v>250.7</v>
      </c>
      <c r="D19">
        <v>342.6</v>
      </c>
      <c r="E19" t="s">
        <v>63</v>
      </c>
    </row>
    <row r="20" spans="1:5" x14ac:dyDescent="0.25">
      <c r="A20">
        <v>19</v>
      </c>
      <c r="B20" t="s">
        <v>23</v>
      </c>
      <c r="C20">
        <v>28.9</v>
      </c>
      <c r="D20">
        <v>121.7</v>
      </c>
      <c r="E20" t="s">
        <v>64</v>
      </c>
    </row>
    <row r="21" spans="1:5" x14ac:dyDescent="0.25">
      <c r="A21">
        <v>20</v>
      </c>
      <c r="B21" t="s">
        <v>24</v>
      </c>
      <c r="C21">
        <v>168.6</v>
      </c>
      <c r="D21">
        <v>197.5</v>
      </c>
      <c r="E21" t="s">
        <v>65</v>
      </c>
    </row>
    <row r="22" spans="1:5" x14ac:dyDescent="0.25">
      <c r="A22">
        <v>21</v>
      </c>
      <c r="B22" t="s">
        <v>25</v>
      </c>
      <c r="C22">
        <v>76.8</v>
      </c>
      <c r="D22">
        <v>169.2</v>
      </c>
      <c r="E22" t="s">
        <v>66</v>
      </c>
    </row>
    <row r="23" spans="1:5" x14ac:dyDescent="0.25">
      <c r="A23">
        <v>22</v>
      </c>
      <c r="B23" t="s">
        <v>26</v>
      </c>
      <c r="C23">
        <v>24.8</v>
      </c>
      <c r="D23">
        <v>164</v>
      </c>
      <c r="E23" t="s">
        <v>67</v>
      </c>
    </row>
    <row r="24" spans="1:5" x14ac:dyDescent="0.25">
      <c r="A24">
        <v>23</v>
      </c>
      <c r="B24" t="s">
        <v>27</v>
      </c>
      <c r="C24">
        <v>47.1</v>
      </c>
      <c r="D24">
        <v>157</v>
      </c>
      <c r="E24" t="s">
        <v>68</v>
      </c>
    </row>
    <row r="25" spans="1:5" x14ac:dyDescent="0.25">
      <c r="A25">
        <v>24</v>
      </c>
      <c r="B25" t="s">
        <v>28</v>
      </c>
      <c r="C25">
        <v>50.6</v>
      </c>
      <c r="D25">
        <v>119.2</v>
      </c>
      <c r="E25" t="s">
        <v>69</v>
      </c>
    </row>
    <row r="26" spans="1:5" x14ac:dyDescent="0.25">
      <c r="A26">
        <v>25</v>
      </c>
      <c r="B26" t="s">
        <v>29</v>
      </c>
      <c r="C26">
        <v>40.700000000000003</v>
      </c>
      <c r="D26">
        <v>124.3</v>
      </c>
      <c r="E26" t="s">
        <v>50</v>
      </c>
    </row>
    <row r="27" spans="1:5" x14ac:dyDescent="0.25">
      <c r="A27">
        <v>26</v>
      </c>
      <c r="B27" t="s">
        <v>30</v>
      </c>
      <c r="C27">
        <v>42.5</v>
      </c>
      <c r="D27">
        <v>130.19999999999999</v>
      </c>
      <c r="E27" t="s">
        <v>50</v>
      </c>
    </row>
    <row r="28" spans="1:5" x14ac:dyDescent="0.25">
      <c r="A28">
        <v>27</v>
      </c>
      <c r="B28" t="s">
        <v>31</v>
      </c>
      <c r="C28">
        <v>251.5</v>
      </c>
      <c r="D28">
        <v>279.7</v>
      </c>
      <c r="E28" t="s">
        <v>70</v>
      </c>
    </row>
    <row r="29" spans="1:5" x14ac:dyDescent="0.25">
      <c r="A29">
        <v>28</v>
      </c>
      <c r="B29" t="s">
        <v>32</v>
      </c>
      <c r="C29">
        <v>18.2</v>
      </c>
      <c r="D29">
        <v>115.4</v>
      </c>
      <c r="E29" t="s">
        <v>71</v>
      </c>
    </row>
    <row r="30" spans="1:5" x14ac:dyDescent="0.25">
      <c r="A30">
        <v>29</v>
      </c>
      <c r="B30" t="s">
        <v>33</v>
      </c>
      <c r="C30">
        <v>93</v>
      </c>
      <c r="D30">
        <v>195.6</v>
      </c>
      <c r="E30" t="s">
        <v>72</v>
      </c>
    </row>
    <row r="31" spans="1:5" x14ac:dyDescent="0.25">
      <c r="A31">
        <v>30</v>
      </c>
      <c r="B31" t="s">
        <v>34</v>
      </c>
      <c r="C31">
        <v>63.8</v>
      </c>
      <c r="D31">
        <v>158.4</v>
      </c>
      <c r="E31" t="s">
        <v>54</v>
      </c>
    </row>
    <row r="32" spans="1:5" x14ac:dyDescent="0.25">
      <c r="A32">
        <v>31</v>
      </c>
      <c r="B32" t="s">
        <v>35</v>
      </c>
      <c r="C32">
        <v>65.7</v>
      </c>
      <c r="D32">
        <v>129.69999999999999</v>
      </c>
      <c r="E32" t="s">
        <v>73</v>
      </c>
    </row>
    <row r="33" spans="1:5" x14ac:dyDescent="0.25">
      <c r="A33">
        <v>32</v>
      </c>
      <c r="B33" t="s">
        <v>36</v>
      </c>
      <c r="C33">
        <v>9.4</v>
      </c>
      <c r="D33">
        <v>130.1</v>
      </c>
      <c r="E33" t="s">
        <v>74</v>
      </c>
    </row>
    <row r="34" spans="1:5" x14ac:dyDescent="0.25">
      <c r="A34">
        <v>33</v>
      </c>
      <c r="B34" t="s">
        <v>37</v>
      </c>
      <c r="C34">
        <v>43.4</v>
      </c>
      <c r="D34">
        <v>179.1</v>
      </c>
      <c r="E34" t="s">
        <v>64</v>
      </c>
    </row>
    <row r="35" spans="1:5" x14ac:dyDescent="0.25">
      <c r="A35">
        <v>34</v>
      </c>
      <c r="B35" t="s">
        <v>38</v>
      </c>
      <c r="C35">
        <v>96.2</v>
      </c>
      <c r="D35">
        <v>188.9</v>
      </c>
      <c r="E35" t="s">
        <v>73</v>
      </c>
    </row>
    <row r="36" spans="1:5" x14ac:dyDescent="0.25">
      <c r="A36">
        <v>35</v>
      </c>
      <c r="B36" t="s">
        <v>39</v>
      </c>
      <c r="C36">
        <v>63.2</v>
      </c>
      <c r="D36">
        <v>130.80000000000001</v>
      </c>
      <c r="E36" t="s">
        <v>72</v>
      </c>
    </row>
    <row r="37" spans="1:5" x14ac:dyDescent="0.25">
      <c r="A37">
        <v>36</v>
      </c>
      <c r="B37" t="s">
        <v>40</v>
      </c>
      <c r="C37">
        <v>181.7</v>
      </c>
      <c r="D37">
        <v>203.4</v>
      </c>
      <c r="E37" t="s">
        <v>75</v>
      </c>
    </row>
    <row r="38" spans="1:5" x14ac:dyDescent="0.25">
      <c r="A38">
        <v>37</v>
      </c>
      <c r="B38" t="s">
        <v>41</v>
      </c>
      <c r="C38">
        <v>44.3</v>
      </c>
      <c r="D38">
        <v>126.1</v>
      </c>
      <c r="E38" t="s">
        <v>76</v>
      </c>
    </row>
    <row r="39" spans="1:5" x14ac:dyDescent="0.25">
      <c r="A39">
        <v>38</v>
      </c>
      <c r="B39" t="s">
        <v>42</v>
      </c>
      <c r="C39">
        <v>377.3</v>
      </c>
      <c r="D39">
        <v>200.8</v>
      </c>
      <c r="E39" t="s">
        <v>77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5AA92B-155B-4E51-8D2E-C368A65BCB69}">
  <dimension ref="A1:E39"/>
  <sheetViews>
    <sheetView topLeftCell="A6" workbookViewId="0">
      <selection activeCell="G34" sqref="G34"/>
    </sheetView>
  </sheetViews>
  <sheetFormatPr defaultRowHeight="15" x14ac:dyDescent="0.25"/>
  <sheetData>
    <row r="1" spans="1: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 x14ac:dyDescent="0.25">
      <c r="A2">
        <v>1</v>
      </c>
      <c r="B2" t="s">
        <v>5</v>
      </c>
      <c r="C2">
        <v>612.20000000000005</v>
      </c>
      <c r="D2">
        <v>487.1</v>
      </c>
      <c r="E2">
        <v>26</v>
      </c>
    </row>
    <row r="3" spans="1:5" x14ac:dyDescent="0.25">
      <c r="A3">
        <v>2</v>
      </c>
      <c r="B3" t="s">
        <v>6</v>
      </c>
      <c r="C3">
        <v>185.6</v>
      </c>
      <c r="D3">
        <v>249.1</v>
      </c>
      <c r="E3">
        <v>-25</v>
      </c>
    </row>
    <row r="4" spans="1:5" x14ac:dyDescent="0.25">
      <c r="A4">
        <v>3</v>
      </c>
      <c r="B4" t="s">
        <v>7</v>
      </c>
      <c r="C4">
        <v>238.3</v>
      </c>
      <c r="D4">
        <v>293.5</v>
      </c>
      <c r="E4">
        <v>-19</v>
      </c>
    </row>
    <row r="5" spans="1:5" x14ac:dyDescent="0.25">
      <c r="A5">
        <v>4</v>
      </c>
      <c r="B5" t="s">
        <v>8</v>
      </c>
      <c r="C5">
        <v>272.8</v>
      </c>
      <c r="D5">
        <v>284.7</v>
      </c>
      <c r="E5">
        <v>-4</v>
      </c>
    </row>
    <row r="6" spans="1:5" x14ac:dyDescent="0.25">
      <c r="A6">
        <v>5</v>
      </c>
      <c r="B6" t="s">
        <v>9</v>
      </c>
      <c r="C6">
        <v>196.7</v>
      </c>
      <c r="D6">
        <v>329.1</v>
      </c>
      <c r="E6">
        <v>-40</v>
      </c>
    </row>
    <row r="7" spans="1:5" x14ac:dyDescent="0.25">
      <c r="A7">
        <v>6</v>
      </c>
      <c r="B7" t="s">
        <v>10</v>
      </c>
      <c r="C7">
        <v>364.9</v>
      </c>
      <c r="D7">
        <v>286</v>
      </c>
      <c r="E7">
        <v>28</v>
      </c>
    </row>
    <row r="8" spans="1:5" x14ac:dyDescent="0.25">
      <c r="A8">
        <v>7</v>
      </c>
      <c r="B8" t="s">
        <v>11</v>
      </c>
      <c r="C8">
        <v>397.6</v>
      </c>
      <c r="D8">
        <v>310.7</v>
      </c>
      <c r="E8">
        <v>28</v>
      </c>
    </row>
    <row r="9" spans="1:5" x14ac:dyDescent="0.25">
      <c r="A9">
        <v>8</v>
      </c>
      <c r="B9" t="s">
        <v>12</v>
      </c>
      <c r="C9">
        <v>358.2</v>
      </c>
      <c r="D9">
        <v>306.8</v>
      </c>
      <c r="E9">
        <v>17</v>
      </c>
    </row>
    <row r="10" spans="1:5" x14ac:dyDescent="0.25">
      <c r="A10">
        <v>9</v>
      </c>
      <c r="B10" t="s">
        <v>13</v>
      </c>
      <c r="C10">
        <v>465.7</v>
      </c>
      <c r="D10">
        <v>270.60000000000002</v>
      </c>
      <c r="E10">
        <v>72</v>
      </c>
    </row>
    <row r="11" spans="1:5" x14ac:dyDescent="0.25">
      <c r="A11">
        <v>10</v>
      </c>
      <c r="B11" t="s">
        <v>14</v>
      </c>
      <c r="C11">
        <v>416.4</v>
      </c>
      <c r="D11">
        <v>313.2</v>
      </c>
      <c r="E11">
        <v>33</v>
      </c>
    </row>
    <row r="12" spans="1:5" x14ac:dyDescent="0.25">
      <c r="A12">
        <v>11</v>
      </c>
      <c r="B12" t="s">
        <v>15</v>
      </c>
      <c r="C12">
        <v>665.4</v>
      </c>
      <c r="D12">
        <v>364.3</v>
      </c>
      <c r="E12">
        <v>83</v>
      </c>
    </row>
    <row r="13" spans="1:5" x14ac:dyDescent="0.25">
      <c r="A13">
        <v>12</v>
      </c>
      <c r="B13" t="s">
        <v>16</v>
      </c>
      <c r="C13">
        <v>201.7</v>
      </c>
      <c r="D13">
        <v>276.60000000000002</v>
      </c>
      <c r="E13">
        <v>-27</v>
      </c>
    </row>
    <row r="14" spans="1:5" x14ac:dyDescent="0.25">
      <c r="A14">
        <v>13</v>
      </c>
      <c r="B14" t="s">
        <v>17</v>
      </c>
      <c r="C14">
        <v>611.1</v>
      </c>
      <c r="D14">
        <v>336.3</v>
      </c>
      <c r="E14">
        <v>82</v>
      </c>
    </row>
    <row r="15" spans="1:5" x14ac:dyDescent="0.25">
      <c r="A15">
        <v>14</v>
      </c>
      <c r="B15" t="s">
        <v>18</v>
      </c>
      <c r="C15">
        <v>206.1</v>
      </c>
      <c r="D15">
        <v>284.39999999999998</v>
      </c>
      <c r="E15">
        <v>-28</v>
      </c>
    </row>
    <row r="16" spans="1:5" x14ac:dyDescent="0.25">
      <c r="A16">
        <v>15</v>
      </c>
      <c r="B16" t="s">
        <v>19</v>
      </c>
      <c r="C16">
        <v>324.2</v>
      </c>
      <c r="D16">
        <v>319.39999999999998</v>
      </c>
      <c r="E16">
        <v>2</v>
      </c>
    </row>
    <row r="17" spans="1:5" x14ac:dyDescent="0.25">
      <c r="A17">
        <v>16</v>
      </c>
      <c r="B17" t="s">
        <v>20</v>
      </c>
      <c r="C17">
        <v>377.6</v>
      </c>
      <c r="D17">
        <v>349.2</v>
      </c>
      <c r="E17">
        <v>8</v>
      </c>
    </row>
    <row r="18" spans="1:5" x14ac:dyDescent="0.25">
      <c r="A18">
        <v>17</v>
      </c>
      <c r="B18" t="s">
        <v>21</v>
      </c>
      <c r="C18">
        <v>395.6</v>
      </c>
      <c r="D18">
        <v>309</v>
      </c>
      <c r="E18">
        <v>28</v>
      </c>
    </row>
    <row r="19" spans="1:5" x14ac:dyDescent="0.25">
      <c r="A19">
        <v>18</v>
      </c>
      <c r="B19" t="s">
        <v>22</v>
      </c>
      <c r="C19">
        <v>915.1</v>
      </c>
      <c r="D19">
        <v>597.4</v>
      </c>
      <c r="E19">
        <v>53</v>
      </c>
    </row>
    <row r="20" spans="1:5" x14ac:dyDescent="0.25">
      <c r="A20">
        <v>19</v>
      </c>
      <c r="B20" t="s">
        <v>23</v>
      </c>
      <c r="C20">
        <v>297.89999999999998</v>
      </c>
      <c r="D20">
        <v>305.3</v>
      </c>
      <c r="E20">
        <v>-2</v>
      </c>
    </row>
    <row r="21" spans="1:5" x14ac:dyDescent="0.25">
      <c r="A21">
        <v>20</v>
      </c>
      <c r="B21" t="s">
        <v>24</v>
      </c>
      <c r="C21">
        <v>533.6</v>
      </c>
      <c r="D21">
        <v>332.8</v>
      </c>
      <c r="E21">
        <v>60</v>
      </c>
    </row>
    <row r="22" spans="1:5" x14ac:dyDescent="0.25">
      <c r="A22">
        <v>21</v>
      </c>
      <c r="B22" t="s">
        <v>25</v>
      </c>
      <c r="C22">
        <v>468.2</v>
      </c>
      <c r="D22">
        <v>353.5</v>
      </c>
      <c r="E22">
        <v>32</v>
      </c>
    </row>
    <row r="23" spans="1:5" x14ac:dyDescent="0.25">
      <c r="A23">
        <v>22</v>
      </c>
      <c r="B23" t="s">
        <v>26</v>
      </c>
      <c r="C23">
        <v>401</v>
      </c>
      <c r="D23">
        <v>353.9</v>
      </c>
      <c r="E23">
        <v>13</v>
      </c>
    </row>
    <row r="24" spans="1:5" x14ac:dyDescent="0.25">
      <c r="A24">
        <v>23</v>
      </c>
      <c r="B24" t="s">
        <v>27</v>
      </c>
      <c r="C24">
        <v>549.4</v>
      </c>
      <c r="D24">
        <v>332.2</v>
      </c>
      <c r="E24">
        <v>65</v>
      </c>
    </row>
    <row r="25" spans="1:5" x14ac:dyDescent="0.25">
      <c r="A25">
        <v>24</v>
      </c>
      <c r="B25" t="s">
        <v>28</v>
      </c>
      <c r="C25">
        <v>255.8</v>
      </c>
      <c r="D25">
        <v>304.3</v>
      </c>
      <c r="E25">
        <v>-16</v>
      </c>
    </row>
    <row r="26" spans="1:5" x14ac:dyDescent="0.25">
      <c r="A26">
        <v>25</v>
      </c>
      <c r="B26" t="s">
        <v>29</v>
      </c>
      <c r="C26">
        <v>301.89999999999998</v>
      </c>
      <c r="D26">
        <v>281.39999999999998</v>
      </c>
      <c r="E26">
        <v>7</v>
      </c>
    </row>
    <row r="27" spans="1:5" x14ac:dyDescent="0.25">
      <c r="A27">
        <v>26</v>
      </c>
      <c r="B27" t="s">
        <v>30</v>
      </c>
      <c r="C27">
        <v>278.7</v>
      </c>
      <c r="D27">
        <v>315.60000000000002</v>
      </c>
      <c r="E27">
        <v>-12</v>
      </c>
    </row>
    <row r="28" spans="1:5" x14ac:dyDescent="0.25">
      <c r="A28">
        <v>27</v>
      </c>
      <c r="B28" t="s">
        <v>31</v>
      </c>
      <c r="C28">
        <v>352.2</v>
      </c>
      <c r="D28">
        <v>476.3</v>
      </c>
      <c r="E28">
        <v>-26</v>
      </c>
    </row>
    <row r="29" spans="1:5" x14ac:dyDescent="0.25">
      <c r="A29">
        <v>28</v>
      </c>
      <c r="B29" t="s">
        <v>32</v>
      </c>
      <c r="C29">
        <v>213.9</v>
      </c>
      <c r="D29">
        <v>288.8</v>
      </c>
      <c r="E29">
        <v>-26</v>
      </c>
    </row>
    <row r="30" spans="1:5" x14ac:dyDescent="0.25">
      <c r="A30">
        <v>29</v>
      </c>
      <c r="B30" t="s">
        <v>33</v>
      </c>
      <c r="C30">
        <v>403.3</v>
      </c>
      <c r="D30">
        <v>375.3</v>
      </c>
      <c r="E30">
        <v>7</v>
      </c>
    </row>
    <row r="31" spans="1:5" x14ac:dyDescent="0.25">
      <c r="A31">
        <v>30</v>
      </c>
      <c r="B31" t="s">
        <v>34</v>
      </c>
      <c r="C31">
        <v>406.4</v>
      </c>
      <c r="D31">
        <v>309.5</v>
      </c>
      <c r="E31">
        <v>31</v>
      </c>
    </row>
    <row r="32" spans="1:5" x14ac:dyDescent="0.25">
      <c r="A32">
        <v>31</v>
      </c>
      <c r="B32" t="s">
        <v>35</v>
      </c>
      <c r="C32">
        <v>480.8</v>
      </c>
      <c r="D32">
        <v>315.89999999999998</v>
      </c>
      <c r="E32">
        <v>52</v>
      </c>
    </row>
    <row r="33" spans="1:5" x14ac:dyDescent="0.25">
      <c r="A33">
        <v>32</v>
      </c>
      <c r="B33" t="s">
        <v>36</v>
      </c>
      <c r="C33">
        <v>254.8</v>
      </c>
      <c r="D33">
        <v>296.60000000000002</v>
      </c>
      <c r="E33">
        <v>-14</v>
      </c>
    </row>
    <row r="34" spans="1:5" x14ac:dyDescent="0.25">
      <c r="A34">
        <v>33</v>
      </c>
      <c r="B34" t="s">
        <v>37</v>
      </c>
      <c r="C34">
        <v>595.79999999999995</v>
      </c>
      <c r="D34">
        <v>356.7</v>
      </c>
      <c r="E34">
        <v>67</v>
      </c>
    </row>
    <row r="35" spans="1:5" x14ac:dyDescent="0.25">
      <c r="A35">
        <v>34</v>
      </c>
      <c r="B35" t="s">
        <v>38</v>
      </c>
      <c r="C35">
        <v>621.4</v>
      </c>
      <c r="D35">
        <v>375.5</v>
      </c>
      <c r="E35">
        <v>65</v>
      </c>
    </row>
    <row r="36" spans="1:5" x14ac:dyDescent="0.25">
      <c r="A36">
        <v>35</v>
      </c>
      <c r="B36" t="s">
        <v>39</v>
      </c>
      <c r="C36">
        <v>714.2</v>
      </c>
      <c r="D36">
        <v>308.3</v>
      </c>
      <c r="E36">
        <v>132</v>
      </c>
    </row>
    <row r="37" spans="1:5" x14ac:dyDescent="0.25">
      <c r="A37">
        <v>36</v>
      </c>
      <c r="B37" t="s">
        <v>40</v>
      </c>
      <c r="C37">
        <v>501.7</v>
      </c>
      <c r="D37">
        <v>391.3</v>
      </c>
      <c r="E37">
        <v>28</v>
      </c>
    </row>
    <row r="38" spans="1:5" x14ac:dyDescent="0.25">
      <c r="A38">
        <v>37</v>
      </c>
      <c r="B38" t="s">
        <v>41</v>
      </c>
      <c r="C38">
        <v>330.2</v>
      </c>
      <c r="D38">
        <v>335.6</v>
      </c>
      <c r="E38">
        <v>-2</v>
      </c>
    </row>
    <row r="39" spans="1:5" x14ac:dyDescent="0.25">
      <c r="A39">
        <v>38</v>
      </c>
      <c r="B39" t="s">
        <v>42</v>
      </c>
      <c r="C39">
        <v>641.9</v>
      </c>
      <c r="D39">
        <v>438.5</v>
      </c>
      <c r="E39">
        <v>46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CBDC90-A528-48EA-AC55-BF8E2514B141}">
  <dimension ref="A1:E39"/>
  <sheetViews>
    <sheetView topLeftCell="A6" workbookViewId="0">
      <selection activeCell="G24" sqref="G24"/>
    </sheetView>
  </sheetViews>
  <sheetFormatPr defaultRowHeight="15" x14ac:dyDescent="0.25"/>
  <sheetData>
    <row r="1" spans="1: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 x14ac:dyDescent="0.25">
      <c r="A2">
        <v>1</v>
      </c>
      <c r="B2" t="s">
        <v>5</v>
      </c>
      <c r="C2">
        <v>155.4</v>
      </c>
      <c r="D2">
        <v>340.9</v>
      </c>
      <c r="E2" t="s">
        <v>59</v>
      </c>
    </row>
    <row r="3" spans="1:5" x14ac:dyDescent="0.25">
      <c r="A3">
        <v>2</v>
      </c>
      <c r="B3" t="s">
        <v>6</v>
      </c>
      <c r="C3">
        <v>78.900000000000006</v>
      </c>
      <c r="D3">
        <v>204.5</v>
      </c>
      <c r="E3" t="s">
        <v>78</v>
      </c>
    </row>
    <row r="4" spans="1:5" x14ac:dyDescent="0.25">
      <c r="A4">
        <v>3</v>
      </c>
      <c r="B4" t="s">
        <v>7</v>
      </c>
      <c r="C4">
        <v>269</v>
      </c>
      <c r="D4">
        <v>251</v>
      </c>
      <c r="E4" t="s">
        <v>79</v>
      </c>
    </row>
    <row r="5" spans="1:5" x14ac:dyDescent="0.25">
      <c r="A5">
        <v>4</v>
      </c>
      <c r="B5" t="s">
        <v>8</v>
      </c>
      <c r="C5">
        <v>117.5</v>
      </c>
      <c r="D5">
        <v>247.7</v>
      </c>
      <c r="E5" t="s">
        <v>80</v>
      </c>
    </row>
    <row r="6" spans="1:5" x14ac:dyDescent="0.25">
      <c r="A6">
        <v>5</v>
      </c>
      <c r="B6" t="s">
        <v>9</v>
      </c>
      <c r="C6">
        <v>106.1</v>
      </c>
      <c r="D6">
        <v>273.8</v>
      </c>
      <c r="E6" t="s">
        <v>78</v>
      </c>
    </row>
    <row r="7" spans="1:5" x14ac:dyDescent="0.25">
      <c r="A7">
        <v>6</v>
      </c>
      <c r="B7" t="s">
        <v>10</v>
      </c>
      <c r="C7">
        <v>225.9</v>
      </c>
      <c r="D7">
        <v>271.2</v>
      </c>
      <c r="E7" t="s">
        <v>81</v>
      </c>
    </row>
    <row r="8" spans="1:5" x14ac:dyDescent="0.25">
      <c r="A8">
        <v>7</v>
      </c>
      <c r="B8" t="s">
        <v>11</v>
      </c>
      <c r="C8">
        <v>102.4</v>
      </c>
      <c r="D8">
        <v>260.3</v>
      </c>
      <c r="E8" t="s">
        <v>78</v>
      </c>
    </row>
    <row r="9" spans="1:5" x14ac:dyDescent="0.25">
      <c r="A9">
        <v>8</v>
      </c>
      <c r="B9" t="s">
        <v>12</v>
      </c>
      <c r="C9">
        <v>84.7</v>
      </c>
      <c r="D9">
        <v>258.89999999999998</v>
      </c>
      <c r="E9" t="s">
        <v>50</v>
      </c>
    </row>
    <row r="10" spans="1:5" x14ac:dyDescent="0.25">
      <c r="A10">
        <v>9</v>
      </c>
      <c r="B10" t="s">
        <v>13</v>
      </c>
      <c r="C10">
        <v>155.30000000000001</v>
      </c>
      <c r="D10">
        <v>232</v>
      </c>
      <c r="E10" t="s">
        <v>82</v>
      </c>
    </row>
    <row r="11" spans="1:5" x14ac:dyDescent="0.25">
      <c r="A11">
        <v>10</v>
      </c>
      <c r="B11" t="s">
        <v>14</v>
      </c>
      <c r="C11">
        <v>126.9</v>
      </c>
      <c r="D11">
        <v>254.7</v>
      </c>
      <c r="E11" t="s">
        <v>83</v>
      </c>
    </row>
    <row r="12" spans="1:5" x14ac:dyDescent="0.25">
      <c r="A12">
        <v>11</v>
      </c>
      <c r="B12" t="s">
        <v>15</v>
      </c>
      <c r="C12">
        <v>54.1</v>
      </c>
      <c r="D12">
        <v>302</v>
      </c>
      <c r="E12" t="s">
        <v>84</v>
      </c>
    </row>
    <row r="13" spans="1:5" x14ac:dyDescent="0.25">
      <c r="A13">
        <v>12</v>
      </c>
      <c r="B13" t="s">
        <v>16</v>
      </c>
      <c r="C13">
        <v>224.2</v>
      </c>
      <c r="D13">
        <v>241.6</v>
      </c>
      <c r="E13" t="s">
        <v>85</v>
      </c>
    </row>
    <row r="14" spans="1:5" x14ac:dyDescent="0.25">
      <c r="A14">
        <v>13</v>
      </c>
      <c r="B14" t="s">
        <v>17</v>
      </c>
      <c r="C14">
        <v>126.7</v>
      </c>
      <c r="D14">
        <v>272.7</v>
      </c>
      <c r="E14" t="s">
        <v>59</v>
      </c>
    </row>
    <row r="15" spans="1:5" x14ac:dyDescent="0.25">
      <c r="A15">
        <v>14</v>
      </c>
      <c r="B15" t="s">
        <v>18</v>
      </c>
      <c r="C15">
        <v>191.5</v>
      </c>
      <c r="D15">
        <v>238.2</v>
      </c>
      <c r="E15" t="s">
        <v>86</v>
      </c>
    </row>
    <row r="16" spans="1:5" x14ac:dyDescent="0.25">
      <c r="A16">
        <v>15</v>
      </c>
      <c r="B16" t="s">
        <v>19</v>
      </c>
      <c r="C16">
        <v>129.9</v>
      </c>
      <c r="D16">
        <v>250.9</v>
      </c>
      <c r="E16" t="s">
        <v>87</v>
      </c>
    </row>
    <row r="17" spans="1:5" x14ac:dyDescent="0.25">
      <c r="A17">
        <v>16</v>
      </c>
      <c r="B17" t="s">
        <v>20</v>
      </c>
      <c r="C17">
        <v>121.5</v>
      </c>
      <c r="D17">
        <v>255.8</v>
      </c>
      <c r="E17" t="s">
        <v>72</v>
      </c>
    </row>
    <row r="18" spans="1:5" x14ac:dyDescent="0.25">
      <c r="A18">
        <v>17</v>
      </c>
      <c r="B18" t="s">
        <v>21</v>
      </c>
      <c r="C18">
        <v>98.2</v>
      </c>
      <c r="D18">
        <v>252.1</v>
      </c>
      <c r="E18" t="s">
        <v>78</v>
      </c>
    </row>
    <row r="19" spans="1:5" x14ac:dyDescent="0.25">
      <c r="A19">
        <v>18</v>
      </c>
      <c r="B19" t="s">
        <v>22</v>
      </c>
      <c r="C19">
        <v>187.1</v>
      </c>
      <c r="D19">
        <v>451.7</v>
      </c>
      <c r="E19" t="s">
        <v>52</v>
      </c>
    </row>
    <row r="20" spans="1:5" x14ac:dyDescent="0.25">
      <c r="A20">
        <v>19</v>
      </c>
      <c r="B20" t="s">
        <v>23</v>
      </c>
      <c r="C20">
        <v>101.8</v>
      </c>
      <c r="D20">
        <v>222.7</v>
      </c>
      <c r="E20" t="s">
        <v>59</v>
      </c>
    </row>
    <row r="21" spans="1:5" x14ac:dyDescent="0.25">
      <c r="A21">
        <v>20</v>
      </c>
      <c r="B21" t="s">
        <v>24</v>
      </c>
      <c r="C21">
        <v>95.5</v>
      </c>
      <c r="D21">
        <v>265.89999999999998</v>
      </c>
      <c r="E21" t="s">
        <v>61</v>
      </c>
    </row>
    <row r="22" spans="1:5" x14ac:dyDescent="0.25">
      <c r="A22">
        <v>21</v>
      </c>
      <c r="B22" t="s">
        <v>25</v>
      </c>
      <c r="C22">
        <v>102</v>
      </c>
      <c r="D22">
        <v>268.5</v>
      </c>
      <c r="E22" t="s">
        <v>88</v>
      </c>
    </row>
    <row r="23" spans="1:5" x14ac:dyDescent="0.25">
      <c r="A23">
        <v>22</v>
      </c>
      <c r="B23" t="s">
        <v>26</v>
      </c>
      <c r="C23">
        <v>109.8</v>
      </c>
      <c r="D23">
        <v>276.10000000000002</v>
      </c>
      <c r="E23" t="s">
        <v>54</v>
      </c>
    </row>
    <row r="24" spans="1:5" x14ac:dyDescent="0.25">
      <c r="A24">
        <v>23</v>
      </c>
      <c r="B24" t="s">
        <v>27</v>
      </c>
      <c r="C24">
        <v>73.400000000000006</v>
      </c>
      <c r="D24">
        <v>261.89999999999998</v>
      </c>
      <c r="E24" t="s">
        <v>55</v>
      </c>
    </row>
    <row r="25" spans="1:5" x14ac:dyDescent="0.25">
      <c r="A25">
        <v>24</v>
      </c>
      <c r="B25" t="s">
        <v>28</v>
      </c>
      <c r="C25">
        <v>134.69999999999999</v>
      </c>
      <c r="D25">
        <v>237.7</v>
      </c>
      <c r="E25" t="s">
        <v>89</v>
      </c>
    </row>
    <row r="26" spans="1:5" x14ac:dyDescent="0.25">
      <c r="A26">
        <v>25</v>
      </c>
      <c r="B26" t="s">
        <v>29</v>
      </c>
      <c r="C26">
        <v>165.8</v>
      </c>
      <c r="D26">
        <v>242.4</v>
      </c>
      <c r="E26" t="s">
        <v>90</v>
      </c>
    </row>
    <row r="27" spans="1:5" x14ac:dyDescent="0.25">
      <c r="A27">
        <v>26</v>
      </c>
      <c r="B27" t="s">
        <v>30</v>
      </c>
      <c r="C27">
        <v>107.9</v>
      </c>
      <c r="D27">
        <v>237.8</v>
      </c>
      <c r="E27" t="s">
        <v>66</v>
      </c>
    </row>
    <row r="28" spans="1:5" x14ac:dyDescent="0.25">
      <c r="A28">
        <v>27</v>
      </c>
      <c r="B28" t="s">
        <v>31</v>
      </c>
      <c r="C28">
        <v>193.6</v>
      </c>
      <c r="D28">
        <v>346.9</v>
      </c>
      <c r="E28" t="s">
        <v>91</v>
      </c>
    </row>
    <row r="29" spans="1:5" x14ac:dyDescent="0.25">
      <c r="A29">
        <v>28</v>
      </c>
      <c r="B29" t="s">
        <v>32</v>
      </c>
      <c r="C29">
        <v>189.6</v>
      </c>
      <c r="D29">
        <v>248</v>
      </c>
      <c r="E29" t="s">
        <v>49</v>
      </c>
    </row>
    <row r="30" spans="1:5" x14ac:dyDescent="0.25">
      <c r="A30">
        <v>29</v>
      </c>
      <c r="B30" t="s">
        <v>33</v>
      </c>
      <c r="C30">
        <v>155.19999999999999</v>
      </c>
      <c r="D30">
        <v>276</v>
      </c>
      <c r="E30" t="s">
        <v>91</v>
      </c>
    </row>
    <row r="31" spans="1:5" x14ac:dyDescent="0.25">
      <c r="A31">
        <v>30</v>
      </c>
      <c r="B31" t="s">
        <v>34</v>
      </c>
      <c r="C31">
        <v>228</v>
      </c>
      <c r="D31">
        <v>254.8</v>
      </c>
      <c r="E31" t="s">
        <v>75</v>
      </c>
    </row>
    <row r="32" spans="1:5" x14ac:dyDescent="0.25">
      <c r="A32">
        <v>31</v>
      </c>
      <c r="B32" t="s">
        <v>35</v>
      </c>
      <c r="C32">
        <v>121.6</v>
      </c>
      <c r="D32">
        <v>258</v>
      </c>
      <c r="E32" t="s">
        <v>80</v>
      </c>
    </row>
    <row r="33" spans="1:5" x14ac:dyDescent="0.25">
      <c r="A33">
        <v>32</v>
      </c>
      <c r="B33" t="s">
        <v>36</v>
      </c>
      <c r="C33">
        <v>102.4</v>
      </c>
      <c r="D33">
        <v>209.6</v>
      </c>
      <c r="E33" t="s">
        <v>92</v>
      </c>
    </row>
    <row r="34" spans="1:5" x14ac:dyDescent="0.25">
      <c r="A34">
        <v>33</v>
      </c>
      <c r="B34" t="s">
        <v>37</v>
      </c>
      <c r="C34">
        <v>93.8</v>
      </c>
      <c r="D34">
        <v>266.89999999999998</v>
      </c>
      <c r="E34" t="s">
        <v>76</v>
      </c>
    </row>
    <row r="35" spans="1:5" x14ac:dyDescent="0.25">
      <c r="A35">
        <v>34</v>
      </c>
      <c r="B35" t="s">
        <v>38</v>
      </c>
      <c r="C35">
        <v>56.5</v>
      </c>
      <c r="D35">
        <v>307.3</v>
      </c>
      <c r="E35" t="s">
        <v>84</v>
      </c>
    </row>
    <row r="36" spans="1:5" x14ac:dyDescent="0.25">
      <c r="A36">
        <v>35</v>
      </c>
      <c r="B36" t="s">
        <v>39</v>
      </c>
      <c r="C36">
        <v>82.4</v>
      </c>
      <c r="D36">
        <v>249</v>
      </c>
      <c r="E36" t="s">
        <v>50</v>
      </c>
    </row>
    <row r="37" spans="1:5" x14ac:dyDescent="0.25">
      <c r="A37">
        <v>36</v>
      </c>
      <c r="B37" t="s">
        <v>40</v>
      </c>
      <c r="C37">
        <v>114.6</v>
      </c>
      <c r="D37">
        <v>262.5</v>
      </c>
      <c r="E37" t="s">
        <v>93</v>
      </c>
    </row>
    <row r="38" spans="1:5" x14ac:dyDescent="0.25">
      <c r="A38">
        <v>37</v>
      </c>
      <c r="B38" t="s">
        <v>41</v>
      </c>
      <c r="C38">
        <v>132</v>
      </c>
      <c r="D38">
        <v>244.3</v>
      </c>
      <c r="E38" t="s">
        <v>58</v>
      </c>
    </row>
    <row r="39" spans="1:5" x14ac:dyDescent="0.25">
      <c r="A39">
        <v>38</v>
      </c>
      <c r="B39" t="s">
        <v>42</v>
      </c>
      <c r="C39">
        <v>154</v>
      </c>
      <c r="D39">
        <v>355.8</v>
      </c>
      <c r="E39" t="s">
        <v>94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6A90AA-BBFB-4B2E-BFE2-E57D72B3F265}">
  <dimension ref="A1:E39"/>
  <sheetViews>
    <sheetView tabSelected="1" topLeftCell="A6" workbookViewId="0">
      <selection activeCell="B2" sqref="B2:E39"/>
    </sheetView>
  </sheetViews>
  <sheetFormatPr defaultRowHeight="15" x14ac:dyDescent="0.25"/>
  <sheetData>
    <row r="1" spans="1: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 x14ac:dyDescent="0.25">
      <c r="A2">
        <v>1</v>
      </c>
      <c r="B2" t="s">
        <v>5</v>
      </c>
      <c r="C2">
        <v>448.3</v>
      </c>
      <c r="D2">
        <v>284</v>
      </c>
      <c r="E2" t="s">
        <v>95</v>
      </c>
    </row>
    <row r="3" spans="1:5" x14ac:dyDescent="0.25">
      <c r="A3">
        <v>2</v>
      </c>
      <c r="B3" t="s">
        <v>6</v>
      </c>
      <c r="C3">
        <v>223.4</v>
      </c>
      <c r="D3">
        <v>159.80000000000001</v>
      </c>
      <c r="E3" t="s">
        <v>96</v>
      </c>
    </row>
    <row r="4" spans="1:5" x14ac:dyDescent="0.25">
      <c r="A4">
        <v>3</v>
      </c>
      <c r="B4" t="s">
        <v>7</v>
      </c>
      <c r="C4">
        <v>331.9</v>
      </c>
      <c r="D4">
        <v>187.7</v>
      </c>
      <c r="E4" t="s">
        <v>97</v>
      </c>
    </row>
    <row r="5" spans="1:5" x14ac:dyDescent="0.25">
      <c r="A5">
        <v>4</v>
      </c>
      <c r="B5" t="s">
        <v>8</v>
      </c>
      <c r="C5">
        <v>376.3</v>
      </c>
      <c r="D5">
        <v>198.7</v>
      </c>
      <c r="E5" t="s">
        <v>98</v>
      </c>
    </row>
    <row r="6" spans="1:5" x14ac:dyDescent="0.25">
      <c r="A6">
        <v>5</v>
      </c>
      <c r="B6" t="s">
        <v>9</v>
      </c>
      <c r="C6">
        <v>447</v>
      </c>
      <c r="D6">
        <v>241</v>
      </c>
      <c r="E6" t="s">
        <v>99</v>
      </c>
    </row>
    <row r="7" spans="1:5" x14ac:dyDescent="0.25">
      <c r="A7">
        <v>6</v>
      </c>
      <c r="B7" t="s">
        <v>10</v>
      </c>
      <c r="C7">
        <v>390.5</v>
      </c>
      <c r="D7">
        <v>221.3</v>
      </c>
      <c r="E7" t="s">
        <v>100</v>
      </c>
    </row>
    <row r="8" spans="1:5" x14ac:dyDescent="0.25">
      <c r="A8">
        <v>7</v>
      </c>
      <c r="B8" t="s">
        <v>11</v>
      </c>
      <c r="C8">
        <v>502.2</v>
      </c>
      <c r="D8">
        <v>219.7</v>
      </c>
      <c r="E8" t="s">
        <v>101</v>
      </c>
    </row>
    <row r="9" spans="1:5" x14ac:dyDescent="0.25">
      <c r="A9">
        <v>8</v>
      </c>
      <c r="B9" t="s">
        <v>12</v>
      </c>
      <c r="C9">
        <v>388.2</v>
      </c>
      <c r="D9">
        <v>207.2</v>
      </c>
      <c r="E9" t="s">
        <v>102</v>
      </c>
    </row>
    <row r="10" spans="1:5" x14ac:dyDescent="0.25">
      <c r="A10">
        <v>9</v>
      </c>
      <c r="B10" t="s">
        <v>13</v>
      </c>
      <c r="C10">
        <v>394.6</v>
      </c>
      <c r="D10">
        <v>172.2</v>
      </c>
      <c r="E10" t="s">
        <v>101</v>
      </c>
    </row>
    <row r="11" spans="1:5" x14ac:dyDescent="0.25">
      <c r="A11">
        <v>10</v>
      </c>
      <c r="B11" t="s">
        <v>14</v>
      </c>
      <c r="C11">
        <v>337.5</v>
      </c>
      <c r="D11">
        <v>186.6</v>
      </c>
      <c r="E11" t="s">
        <v>103</v>
      </c>
    </row>
    <row r="12" spans="1:5" x14ac:dyDescent="0.25">
      <c r="A12">
        <v>11</v>
      </c>
      <c r="B12" t="s">
        <v>15</v>
      </c>
      <c r="C12">
        <v>340.6</v>
      </c>
      <c r="D12">
        <v>211.1</v>
      </c>
      <c r="E12" t="s">
        <v>104</v>
      </c>
    </row>
    <row r="13" spans="1:5" x14ac:dyDescent="0.25">
      <c r="A13">
        <v>12</v>
      </c>
      <c r="B13" t="s">
        <v>16</v>
      </c>
      <c r="C13">
        <v>360.4</v>
      </c>
      <c r="D13">
        <v>174.7</v>
      </c>
      <c r="E13" t="s">
        <v>105</v>
      </c>
    </row>
    <row r="14" spans="1:5" x14ac:dyDescent="0.25">
      <c r="A14">
        <v>13</v>
      </c>
      <c r="B14" t="s">
        <v>17</v>
      </c>
      <c r="C14">
        <v>483.9</v>
      </c>
      <c r="D14">
        <v>216.8</v>
      </c>
      <c r="E14" t="s">
        <v>106</v>
      </c>
    </row>
    <row r="15" spans="1:5" x14ac:dyDescent="0.25">
      <c r="A15">
        <v>14</v>
      </c>
      <c r="B15" t="s">
        <v>18</v>
      </c>
      <c r="C15">
        <v>392.1</v>
      </c>
      <c r="D15">
        <v>185.1</v>
      </c>
      <c r="E15" t="s">
        <v>107</v>
      </c>
    </row>
    <row r="16" spans="1:5" x14ac:dyDescent="0.25">
      <c r="A16">
        <v>15</v>
      </c>
      <c r="B16" t="s">
        <v>19</v>
      </c>
      <c r="C16">
        <v>309.7</v>
      </c>
      <c r="D16">
        <v>218.7</v>
      </c>
      <c r="E16" t="s">
        <v>108</v>
      </c>
    </row>
    <row r="17" spans="1:5" x14ac:dyDescent="0.25">
      <c r="A17">
        <v>16</v>
      </c>
      <c r="B17" t="s">
        <v>20</v>
      </c>
      <c r="C17">
        <v>401.9</v>
      </c>
      <c r="D17">
        <v>262</v>
      </c>
      <c r="E17" t="s">
        <v>109</v>
      </c>
    </row>
    <row r="18" spans="1:5" x14ac:dyDescent="0.25">
      <c r="A18">
        <v>17</v>
      </c>
      <c r="B18" t="s">
        <v>21</v>
      </c>
      <c r="C18">
        <v>423.9</v>
      </c>
      <c r="D18">
        <v>225.7</v>
      </c>
      <c r="E18" t="s">
        <v>77</v>
      </c>
    </row>
    <row r="19" spans="1:5" x14ac:dyDescent="0.25">
      <c r="A19">
        <v>18</v>
      </c>
      <c r="B19" t="s">
        <v>22</v>
      </c>
      <c r="C19">
        <v>385.3</v>
      </c>
      <c r="D19">
        <v>354.5</v>
      </c>
      <c r="E19" t="s">
        <v>110</v>
      </c>
    </row>
    <row r="20" spans="1:5" x14ac:dyDescent="0.25">
      <c r="A20">
        <v>19</v>
      </c>
      <c r="B20" t="s">
        <v>23</v>
      </c>
      <c r="C20">
        <v>282.5</v>
      </c>
      <c r="D20">
        <v>200.6</v>
      </c>
      <c r="E20" t="s">
        <v>111</v>
      </c>
    </row>
    <row r="21" spans="1:5" x14ac:dyDescent="0.25">
      <c r="A21">
        <v>20</v>
      </c>
      <c r="B21" t="s">
        <v>24</v>
      </c>
      <c r="C21">
        <v>482.5</v>
      </c>
      <c r="D21">
        <v>250.1</v>
      </c>
      <c r="E21" t="s">
        <v>112</v>
      </c>
    </row>
    <row r="22" spans="1:5" x14ac:dyDescent="0.25">
      <c r="A22">
        <v>21</v>
      </c>
      <c r="B22" t="s">
        <v>25</v>
      </c>
      <c r="C22">
        <v>361.2</v>
      </c>
      <c r="D22">
        <v>180.9</v>
      </c>
      <c r="E22" t="s">
        <v>113</v>
      </c>
    </row>
    <row r="23" spans="1:5" x14ac:dyDescent="0.25">
      <c r="A23">
        <v>22</v>
      </c>
      <c r="B23" t="s">
        <v>26</v>
      </c>
      <c r="C23">
        <v>312.60000000000002</v>
      </c>
      <c r="D23">
        <v>225.9</v>
      </c>
      <c r="E23" t="s">
        <v>114</v>
      </c>
    </row>
    <row r="24" spans="1:5" x14ac:dyDescent="0.25">
      <c r="A24">
        <v>23</v>
      </c>
      <c r="B24" t="s">
        <v>27</v>
      </c>
      <c r="C24">
        <v>406</v>
      </c>
      <c r="D24">
        <v>216.7</v>
      </c>
      <c r="E24" t="s">
        <v>102</v>
      </c>
    </row>
    <row r="25" spans="1:5" x14ac:dyDescent="0.25">
      <c r="A25">
        <v>24</v>
      </c>
      <c r="B25" t="s">
        <v>28</v>
      </c>
      <c r="C25">
        <v>514</v>
      </c>
      <c r="D25">
        <v>191.6</v>
      </c>
      <c r="E25" t="s">
        <v>115</v>
      </c>
    </row>
    <row r="26" spans="1:5" x14ac:dyDescent="0.25">
      <c r="A26">
        <v>25</v>
      </c>
      <c r="B26" t="s">
        <v>29</v>
      </c>
      <c r="C26">
        <v>408.4</v>
      </c>
      <c r="D26">
        <v>178.4</v>
      </c>
      <c r="E26" t="s">
        <v>101</v>
      </c>
    </row>
    <row r="27" spans="1:5" x14ac:dyDescent="0.25">
      <c r="A27">
        <v>26</v>
      </c>
      <c r="B27" t="s">
        <v>30</v>
      </c>
      <c r="C27">
        <v>431.2</v>
      </c>
      <c r="D27">
        <v>203.3</v>
      </c>
      <c r="E27" t="s">
        <v>107</v>
      </c>
    </row>
    <row r="28" spans="1:5" x14ac:dyDescent="0.25">
      <c r="A28">
        <v>27</v>
      </c>
      <c r="B28" t="s">
        <v>31</v>
      </c>
      <c r="C28">
        <v>528.29999999999995</v>
      </c>
      <c r="D28">
        <v>308.89999999999998</v>
      </c>
      <c r="E28" t="s">
        <v>116</v>
      </c>
    </row>
    <row r="29" spans="1:5" x14ac:dyDescent="0.25">
      <c r="A29">
        <v>28</v>
      </c>
      <c r="B29" t="s">
        <v>32</v>
      </c>
      <c r="C29">
        <v>360.3</v>
      </c>
      <c r="D29">
        <v>190.1</v>
      </c>
      <c r="E29" t="s">
        <v>117</v>
      </c>
    </row>
    <row r="30" spans="1:5" x14ac:dyDescent="0.25">
      <c r="A30">
        <v>29</v>
      </c>
      <c r="B30" t="s">
        <v>33</v>
      </c>
      <c r="C30">
        <v>376.7</v>
      </c>
      <c r="D30">
        <v>236.4</v>
      </c>
      <c r="E30" t="s">
        <v>118</v>
      </c>
    </row>
    <row r="31" spans="1:5" x14ac:dyDescent="0.25">
      <c r="A31">
        <v>30</v>
      </c>
      <c r="B31" t="s">
        <v>34</v>
      </c>
      <c r="C31">
        <v>606.4</v>
      </c>
      <c r="D31">
        <v>223</v>
      </c>
      <c r="E31" t="s">
        <v>119</v>
      </c>
    </row>
    <row r="32" spans="1:5" x14ac:dyDescent="0.25">
      <c r="A32">
        <v>31</v>
      </c>
      <c r="B32" t="s">
        <v>35</v>
      </c>
      <c r="C32">
        <v>315.2</v>
      </c>
      <c r="D32">
        <v>195.8</v>
      </c>
      <c r="E32" t="s">
        <v>104</v>
      </c>
    </row>
    <row r="33" spans="1:5" x14ac:dyDescent="0.25">
      <c r="A33">
        <v>32</v>
      </c>
      <c r="B33" t="s">
        <v>36</v>
      </c>
      <c r="C33">
        <v>251.2</v>
      </c>
      <c r="D33">
        <v>181.7</v>
      </c>
      <c r="E33" t="s">
        <v>114</v>
      </c>
    </row>
    <row r="34" spans="1:5" x14ac:dyDescent="0.25">
      <c r="A34">
        <v>33</v>
      </c>
      <c r="B34" t="s">
        <v>37</v>
      </c>
      <c r="C34">
        <v>280</v>
      </c>
      <c r="D34">
        <v>206</v>
      </c>
      <c r="E34" t="s">
        <v>120</v>
      </c>
    </row>
    <row r="35" spans="1:5" x14ac:dyDescent="0.25">
      <c r="A35">
        <v>34</v>
      </c>
      <c r="B35" t="s">
        <v>38</v>
      </c>
      <c r="C35">
        <v>294.8</v>
      </c>
      <c r="D35">
        <v>188.6</v>
      </c>
      <c r="E35" t="s">
        <v>121</v>
      </c>
    </row>
    <row r="36" spans="1:5" x14ac:dyDescent="0.25">
      <c r="A36">
        <v>35</v>
      </c>
      <c r="B36" t="s">
        <v>39</v>
      </c>
      <c r="C36">
        <v>413.5</v>
      </c>
      <c r="D36">
        <v>212.9</v>
      </c>
      <c r="E36" t="s">
        <v>122</v>
      </c>
    </row>
    <row r="37" spans="1:5" x14ac:dyDescent="0.25">
      <c r="A37">
        <v>36</v>
      </c>
      <c r="B37" t="s">
        <v>40</v>
      </c>
      <c r="C37">
        <v>491.2</v>
      </c>
      <c r="D37">
        <v>228.5</v>
      </c>
      <c r="E37" t="s">
        <v>123</v>
      </c>
    </row>
    <row r="38" spans="1:5" x14ac:dyDescent="0.25">
      <c r="A38">
        <v>37</v>
      </c>
      <c r="B38" t="s">
        <v>41</v>
      </c>
      <c r="C38">
        <v>471.7</v>
      </c>
      <c r="D38">
        <v>199.4</v>
      </c>
      <c r="E38" t="s">
        <v>124</v>
      </c>
    </row>
    <row r="39" spans="1:5" x14ac:dyDescent="0.25">
      <c r="A39">
        <v>38</v>
      </c>
      <c r="B39" t="s">
        <v>42</v>
      </c>
      <c r="C39">
        <v>260.89999999999998</v>
      </c>
      <c r="D39">
        <v>237.1</v>
      </c>
      <c r="E39" t="s">
        <v>125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77A518-9993-4DFC-B109-7361F8BD8C89}">
  <dimension ref="A1:F39"/>
  <sheetViews>
    <sheetView workbookViewId="0">
      <selection activeCell="B1" sqref="B1:E1048576"/>
    </sheetView>
  </sheetViews>
  <sheetFormatPr defaultRowHeight="15" x14ac:dyDescent="0.25"/>
  <sheetData>
    <row r="1" spans="1:6" x14ac:dyDescent="0.25">
      <c r="A1" t="s">
        <v>0</v>
      </c>
      <c r="B1" t="s">
        <v>1</v>
      </c>
      <c r="C1" t="s">
        <v>47</v>
      </c>
      <c r="D1" t="s">
        <v>48</v>
      </c>
      <c r="E1" t="s">
        <v>4</v>
      </c>
    </row>
    <row r="2" spans="1:6" x14ac:dyDescent="0.25">
      <c r="A2">
        <v>1</v>
      </c>
      <c r="B2" t="s">
        <v>5</v>
      </c>
      <c r="C2">
        <v>1414.5</v>
      </c>
      <c r="D2">
        <v>1374.6</v>
      </c>
      <c r="E2">
        <v>3</v>
      </c>
      <c r="F2" s="1"/>
    </row>
    <row r="3" spans="1:6" x14ac:dyDescent="0.25">
      <c r="A3">
        <v>2</v>
      </c>
      <c r="B3" t="s">
        <v>6</v>
      </c>
      <c r="C3">
        <v>518.6</v>
      </c>
      <c r="D3">
        <v>705.2</v>
      </c>
      <c r="E3">
        <v>-26</v>
      </c>
      <c r="F3" s="1"/>
    </row>
    <row r="4" spans="1:6" x14ac:dyDescent="0.25">
      <c r="A4">
        <v>3</v>
      </c>
      <c r="B4" t="s">
        <v>7</v>
      </c>
      <c r="C4">
        <v>854.3</v>
      </c>
      <c r="D4">
        <v>859</v>
      </c>
      <c r="E4">
        <v>-1</v>
      </c>
      <c r="F4" s="1"/>
    </row>
    <row r="5" spans="1:6" x14ac:dyDescent="0.25">
      <c r="A5">
        <v>4</v>
      </c>
      <c r="B5" t="s">
        <v>8</v>
      </c>
      <c r="C5">
        <v>823.3</v>
      </c>
      <c r="D5">
        <v>870.6</v>
      </c>
      <c r="E5">
        <v>-5</v>
      </c>
      <c r="F5" s="1"/>
    </row>
    <row r="6" spans="1:6" x14ac:dyDescent="0.25">
      <c r="A6">
        <v>5</v>
      </c>
      <c r="B6" t="s">
        <v>9</v>
      </c>
      <c r="C6">
        <v>769.1</v>
      </c>
      <c r="D6">
        <v>1009.5</v>
      </c>
      <c r="E6">
        <v>-24</v>
      </c>
      <c r="F6" s="1"/>
    </row>
    <row r="7" spans="1:6" x14ac:dyDescent="0.25">
      <c r="A7">
        <v>6</v>
      </c>
      <c r="B7" t="s">
        <v>10</v>
      </c>
      <c r="C7">
        <v>1065.2</v>
      </c>
      <c r="D7">
        <v>890.2</v>
      </c>
      <c r="E7">
        <v>20</v>
      </c>
      <c r="F7" s="1"/>
    </row>
    <row r="8" spans="1:6" x14ac:dyDescent="0.25">
      <c r="A8">
        <v>7</v>
      </c>
      <c r="B8" t="s">
        <v>11</v>
      </c>
      <c r="C8">
        <v>1073.2</v>
      </c>
      <c r="D8">
        <v>970.2</v>
      </c>
      <c r="E8">
        <v>11</v>
      </c>
      <c r="F8" s="1"/>
    </row>
    <row r="9" spans="1:6" x14ac:dyDescent="0.25">
      <c r="A9">
        <v>8</v>
      </c>
      <c r="B9" t="s">
        <v>12</v>
      </c>
      <c r="C9">
        <v>863.6</v>
      </c>
      <c r="D9">
        <v>889.3</v>
      </c>
      <c r="E9">
        <v>-3</v>
      </c>
      <c r="F9" s="1"/>
    </row>
    <row r="10" spans="1:6" x14ac:dyDescent="0.25">
      <c r="A10">
        <v>9</v>
      </c>
      <c r="B10" t="s">
        <v>13</v>
      </c>
      <c r="C10">
        <v>1084.2</v>
      </c>
      <c r="D10">
        <v>785.4</v>
      </c>
      <c r="E10">
        <v>38</v>
      </c>
      <c r="F10" s="1"/>
    </row>
    <row r="11" spans="1:6" x14ac:dyDescent="0.25">
      <c r="A11">
        <v>10</v>
      </c>
      <c r="B11" t="s">
        <v>14</v>
      </c>
      <c r="C11">
        <v>976.7</v>
      </c>
      <c r="D11">
        <v>899.6</v>
      </c>
      <c r="E11">
        <v>9</v>
      </c>
      <c r="F11" s="1"/>
    </row>
    <row r="12" spans="1:6" x14ac:dyDescent="0.25">
      <c r="A12">
        <v>11</v>
      </c>
      <c r="B12" t="s">
        <v>15</v>
      </c>
      <c r="C12">
        <v>1155.3</v>
      </c>
      <c r="D12">
        <v>1055.2</v>
      </c>
      <c r="E12">
        <v>9</v>
      </c>
      <c r="F12" s="1"/>
    </row>
    <row r="13" spans="1:6" x14ac:dyDescent="0.25">
      <c r="A13">
        <v>12</v>
      </c>
      <c r="B13" t="s">
        <v>16</v>
      </c>
      <c r="C13">
        <v>849</v>
      </c>
      <c r="D13">
        <v>828.3</v>
      </c>
      <c r="E13">
        <v>3</v>
      </c>
      <c r="F13" s="1"/>
    </row>
    <row r="14" spans="1:6" x14ac:dyDescent="0.25">
      <c r="A14">
        <v>13</v>
      </c>
      <c r="B14" t="s">
        <v>17</v>
      </c>
      <c r="C14">
        <v>1367.5</v>
      </c>
      <c r="D14">
        <v>968.6</v>
      </c>
      <c r="E14">
        <v>41</v>
      </c>
      <c r="F14" s="1"/>
    </row>
    <row r="15" spans="1:6" x14ac:dyDescent="0.25">
      <c r="A15">
        <v>14</v>
      </c>
      <c r="B15" t="s">
        <v>18</v>
      </c>
      <c r="C15">
        <v>835.3</v>
      </c>
      <c r="D15">
        <v>832.9</v>
      </c>
      <c r="E15">
        <v>0</v>
      </c>
      <c r="F15" s="1"/>
    </row>
    <row r="16" spans="1:6" x14ac:dyDescent="0.25">
      <c r="A16">
        <v>15</v>
      </c>
      <c r="B16" t="s">
        <v>19</v>
      </c>
      <c r="C16">
        <v>812.6</v>
      </c>
      <c r="D16">
        <v>936.4</v>
      </c>
      <c r="E16">
        <v>-13</v>
      </c>
      <c r="F16" s="1"/>
    </row>
    <row r="17" spans="1:6" x14ac:dyDescent="0.25">
      <c r="A17">
        <v>16</v>
      </c>
      <c r="B17" t="s">
        <v>20</v>
      </c>
      <c r="C17">
        <v>1015.9</v>
      </c>
      <c r="D17">
        <v>1078.9000000000001</v>
      </c>
      <c r="E17">
        <v>-6</v>
      </c>
      <c r="F17" s="1"/>
    </row>
    <row r="18" spans="1:6" x14ac:dyDescent="0.25">
      <c r="A18">
        <v>17</v>
      </c>
      <c r="B18" t="s">
        <v>21</v>
      </c>
      <c r="C18">
        <v>975.5</v>
      </c>
      <c r="D18">
        <v>971.3</v>
      </c>
      <c r="E18">
        <v>0</v>
      </c>
      <c r="F18" s="1"/>
    </row>
    <row r="19" spans="1:6" x14ac:dyDescent="0.25">
      <c r="A19">
        <v>18</v>
      </c>
      <c r="B19" t="s">
        <v>22</v>
      </c>
      <c r="C19">
        <v>1738.2</v>
      </c>
      <c r="D19">
        <v>1746.2</v>
      </c>
      <c r="E19">
        <v>0</v>
      </c>
      <c r="F19" s="1"/>
    </row>
    <row r="20" spans="1:6" x14ac:dyDescent="0.25">
      <c r="A20">
        <v>19</v>
      </c>
      <c r="B20" t="s">
        <v>23</v>
      </c>
      <c r="C20">
        <v>711.2</v>
      </c>
      <c r="D20">
        <v>850.3</v>
      </c>
      <c r="E20">
        <v>-16</v>
      </c>
      <c r="F20" s="1"/>
    </row>
    <row r="21" spans="1:6" x14ac:dyDescent="0.25">
      <c r="A21">
        <v>20</v>
      </c>
      <c r="B21" t="s">
        <v>24</v>
      </c>
      <c r="C21">
        <v>1280.2</v>
      </c>
      <c r="D21">
        <v>1046.3</v>
      </c>
      <c r="E21">
        <v>22</v>
      </c>
      <c r="F21" s="1"/>
    </row>
    <row r="22" spans="1:6" x14ac:dyDescent="0.25">
      <c r="A22">
        <v>21</v>
      </c>
      <c r="B22" t="s">
        <v>25</v>
      </c>
      <c r="C22">
        <v>1008.3</v>
      </c>
      <c r="D22">
        <v>972.1</v>
      </c>
      <c r="E22">
        <v>4</v>
      </c>
      <c r="F22" s="1"/>
    </row>
    <row r="23" spans="1:6" x14ac:dyDescent="0.25">
      <c r="A23">
        <v>22</v>
      </c>
      <c r="B23" t="s">
        <v>26</v>
      </c>
      <c r="C23">
        <v>848.2</v>
      </c>
      <c r="D23">
        <v>1019.9</v>
      </c>
      <c r="E23">
        <v>-17</v>
      </c>
      <c r="F23" s="1"/>
    </row>
    <row r="24" spans="1:6" x14ac:dyDescent="0.25">
      <c r="A24">
        <v>23</v>
      </c>
      <c r="B24" t="s">
        <v>27</v>
      </c>
      <c r="C24">
        <v>1075.9000000000001</v>
      </c>
      <c r="D24">
        <v>967.8</v>
      </c>
      <c r="E24">
        <v>11</v>
      </c>
      <c r="F24" s="1"/>
    </row>
    <row r="25" spans="1:6" x14ac:dyDescent="0.25">
      <c r="A25">
        <v>24</v>
      </c>
      <c r="B25" t="s">
        <v>28</v>
      </c>
      <c r="C25">
        <v>955</v>
      </c>
      <c r="D25">
        <v>852.8</v>
      </c>
      <c r="E25">
        <v>12</v>
      </c>
      <c r="F25" s="1"/>
    </row>
    <row r="26" spans="1:6" x14ac:dyDescent="0.25">
      <c r="A26">
        <v>25</v>
      </c>
      <c r="B26" t="s">
        <v>29</v>
      </c>
      <c r="C26">
        <v>916.8</v>
      </c>
      <c r="D26">
        <v>826.5</v>
      </c>
      <c r="E26">
        <v>11</v>
      </c>
      <c r="F26" s="1"/>
    </row>
    <row r="27" spans="1:6" x14ac:dyDescent="0.25">
      <c r="A27">
        <v>26</v>
      </c>
      <c r="B27" t="s">
        <v>30</v>
      </c>
      <c r="C27">
        <v>860.3</v>
      </c>
      <c r="D27">
        <v>886.9</v>
      </c>
      <c r="E27">
        <v>-3</v>
      </c>
      <c r="F27" s="1"/>
    </row>
    <row r="28" spans="1:6" x14ac:dyDescent="0.25">
      <c r="A28">
        <v>27</v>
      </c>
      <c r="B28" t="s">
        <v>31</v>
      </c>
      <c r="C28">
        <v>1325.5</v>
      </c>
      <c r="D28">
        <v>1411.8</v>
      </c>
      <c r="E28">
        <v>-6</v>
      </c>
      <c r="F28" s="1"/>
    </row>
    <row r="29" spans="1:6" x14ac:dyDescent="0.25">
      <c r="A29">
        <v>28</v>
      </c>
      <c r="B29" t="s">
        <v>32</v>
      </c>
      <c r="C29">
        <v>781.9</v>
      </c>
      <c r="D29">
        <v>842.3</v>
      </c>
      <c r="E29">
        <v>-7</v>
      </c>
      <c r="F29" s="1"/>
    </row>
    <row r="30" spans="1:6" x14ac:dyDescent="0.25">
      <c r="A30">
        <v>29</v>
      </c>
      <c r="B30" t="s">
        <v>33</v>
      </c>
      <c r="C30">
        <v>1028.2</v>
      </c>
      <c r="D30">
        <v>1083.3</v>
      </c>
      <c r="E30">
        <v>-5</v>
      </c>
      <c r="F30" s="1"/>
    </row>
    <row r="31" spans="1:6" x14ac:dyDescent="0.25">
      <c r="A31">
        <v>30</v>
      </c>
      <c r="B31" t="s">
        <v>34</v>
      </c>
      <c r="C31">
        <v>1304.5999999999999</v>
      </c>
      <c r="D31">
        <v>945.7</v>
      </c>
      <c r="E31">
        <v>38</v>
      </c>
      <c r="F31" s="1"/>
    </row>
    <row r="32" spans="1:6" x14ac:dyDescent="0.25">
      <c r="A32">
        <v>31</v>
      </c>
      <c r="B32" t="s">
        <v>35</v>
      </c>
      <c r="C32">
        <v>983.2</v>
      </c>
      <c r="D32">
        <v>899.4</v>
      </c>
      <c r="E32">
        <v>9</v>
      </c>
      <c r="F32" s="1"/>
    </row>
    <row r="33" spans="1:6" x14ac:dyDescent="0.25">
      <c r="A33">
        <v>32</v>
      </c>
      <c r="B33" t="s">
        <v>36</v>
      </c>
      <c r="C33">
        <v>617.79999999999995</v>
      </c>
      <c r="D33">
        <v>818</v>
      </c>
      <c r="E33">
        <v>-24</v>
      </c>
      <c r="F33" s="1"/>
    </row>
    <row r="34" spans="1:6" x14ac:dyDescent="0.25">
      <c r="A34">
        <v>33</v>
      </c>
      <c r="B34" t="s">
        <v>37</v>
      </c>
      <c r="C34">
        <v>1013</v>
      </c>
      <c r="D34">
        <v>1008.7</v>
      </c>
      <c r="E34">
        <v>0</v>
      </c>
      <c r="F34" s="1"/>
    </row>
    <row r="35" spans="1:6" x14ac:dyDescent="0.25">
      <c r="A35">
        <v>34</v>
      </c>
      <c r="B35" t="s">
        <v>38</v>
      </c>
      <c r="C35">
        <v>1068.9000000000001</v>
      </c>
      <c r="D35">
        <v>1060.3</v>
      </c>
      <c r="E35">
        <v>1</v>
      </c>
      <c r="F35" s="1"/>
    </row>
    <row r="36" spans="1:6" x14ac:dyDescent="0.25">
      <c r="A36">
        <v>35</v>
      </c>
      <c r="B36" t="s">
        <v>39</v>
      </c>
      <c r="C36">
        <v>1273.3</v>
      </c>
      <c r="D36">
        <v>901</v>
      </c>
      <c r="E36">
        <v>41</v>
      </c>
      <c r="F36" s="1"/>
    </row>
    <row r="37" spans="1:6" x14ac:dyDescent="0.25">
      <c r="A37">
        <v>36</v>
      </c>
      <c r="B37" t="s">
        <v>40</v>
      </c>
      <c r="C37">
        <v>1289.2</v>
      </c>
      <c r="D37">
        <v>1085.7</v>
      </c>
      <c r="E37">
        <v>19</v>
      </c>
      <c r="F37" s="1"/>
    </row>
    <row r="38" spans="1:6" x14ac:dyDescent="0.25">
      <c r="A38">
        <v>37</v>
      </c>
      <c r="B38" t="s">
        <v>41</v>
      </c>
      <c r="C38">
        <v>978.1</v>
      </c>
      <c r="D38">
        <v>905.4</v>
      </c>
      <c r="E38">
        <v>8</v>
      </c>
      <c r="F38" s="1"/>
    </row>
    <row r="39" spans="1:6" x14ac:dyDescent="0.25">
      <c r="A39">
        <v>38</v>
      </c>
      <c r="B39" t="s">
        <v>42</v>
      </c>
      <c r="C39">
        <v>1434.1</v>
      </c>
      <c r="D39">
        <v>1232.2</v>
      </c>
      <c r="E39">
        <v>16</v>
      </c>
      <c r="F39" s="1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0D2E1D-075F-469B-B4B7-336B09E081E8}">
  <dimension ref="A1:L39"/>
  <sheetViews>
    <sheetView workbookViewId="0">
      <selection activeCell="M9" sqref="M9"/>
    </sheetView>
  </sheetViews>
  <sheetFormatPr defaultRowHeight="15" x14ac:dyDescent="0.25"/>
  <sheetData>
    <row r="1" spans="1:12" x14ac:dyDescent="0.25">
      <c r="A1" t="s">
        <v>0</v>
      </c>
      <c r="B1" t="s">
        <v>1</v>
      </c>
      <c r="C1" t="s">
        <v>46</v>
      </c>
      <c r="D1" t="s">
        <v>43</v>
      </c>
      <c r="E1" t="s">
        <v>44</v>
      </c>
      <c r="F1" t="s">
        <v>45</v>
      </c>
      <c r="G1" t="s">
        <v>47</v>
      </c>
      <c r="H1" t="s">
        <v>46</v>
      </c>
      <c r="I1" t="s">
        <v>43</v>
      </c>
      <c r="J1" t="s">
        <v>44</v>
      </c>
      <c r="K1" t="s">
        <v>45</v>
      </c>
      <c r="L1" t="s">
        <v>48</v>
      </c>
    </row>
    <row r="2" spans="1:12" x14ac:dyDescent="0.25">
      <c r="A2">
        <v>1</v>
      </c>
      <c r="B2" t="s">
        <v>5</v>
      </c>
      <c r="C2">
        <f>Jun!C2</f>
        <v>198.7</v>
      </c>
      <c r="D2">
        <f>Jul!C2</f>
        <v>612.20000000000005</v>
      </c>
      <c r="E2">
        <f>Aug!C2</f>
        <v>155.4</v>
      </c>
      <c r="F2">
        <f>Sep!C2</f>
        <v>448.3</v>
      </c>
      <c r="G2">
        <f>SUM(C2:F2)</f>
        <v>1414.6000000000001</v>
      </c>
      <c r="H2">
        <f>Jun!D2</f>
        <v>262.60000000000002</v>
      </c>
      <c r="I2">
        <f>Jul!D2</f>
        <v>487.1</v>
      </c>
      <c r="J2">
        <f>Aug!D2</f>
        <v>340.9</v>
      </c>
      <c r="K2">
        <f>Sep!D2</f>
        <v>284</v>
      </c>
      <c r="L2">
        <f>SUM(H2:K2)</f>
        <v>1374.6</v>
      </c>
    </row>
    <row r="3" spans="1:12" x14ac:dyDescent="0.25">
      <c r="A3">
        <v>2</v>
      </c>
      <c r="B3" t="s">
        <v>6</v>
      </c>
      <c r="C3">
        <f>Jun!C3</f>
        <v>30.7</v>
      </c>
      <c r="D3">
        <f>Jul!C3</f>
        <v>185.6</v>
      </c>
      <c r="E3">
        <f>Aug!C3</f>
        <v>78.900000000000006</v>
      </c>
      <c r="F3">
        <f>Sep!C3</f>
        <v>223.4</v>
      </c>
      <c r="G3">
        <f t="shared" ref="G3:G39" si="0">SUM(C3:F3)</f>
        <v>518.6</v>
      </c>
      <c r="H3">
        <f>Jun!D3</f>
        <v>91.8</v>
      </c>
      <c r="I3">
        <f>Jul!D3</f>
        <v>249.1</v>
      </c>
      <c r="J3">
        <f>Aug!D3</f>
        <v>204.5</v>
      </c>
      <c r="K3">
        <f>Sep!D3</f>
        <v>159.80000000000001</v>
      </c>
      <c r="L3">
        <f t="shared" ref="L3:L39" si="1">SUM(H3:K3)</f>
        <v>705.2</v>
      </c>
    </row>
    <row r="4" spans="1:12" x14ac:dyDescent="0.25">
      <c r="A4">
        <v>3</v>
      </c>
      <c r="B4" t="s">
        <v>7</v>
      </c>
      <c r="C4">
        <f>Jun!C4</f>
        <v>15.2</v>
      </c>
      <c r="D4">
        <f>Jul!C4</f>
        <v>238.3</v>
      </c>
      <c r="E4">
        <f>Aug!C4</f>
        <v>269</v>
      </c>
      <c r="F4">
        <f>Sep!C4</f>
        <v>331.9</v>
      </c>
      <c r="G4">
        <f t="shared" si="0"/>
        <v>854.4</v>
      </c>
      <c r="H4">
        <f>Jun!D4</f>
        <v>126.8</v>
      </c>
      <c r="I4">
        <f>Jul!D4</f>
        <v>293.5</v>
      </c>
      <c r="J4">
        <f>Aug!D4</f>
        <v>251</v>
      </c>
      <c r="K4">
        <f>Sep!D4</f>
        <v>187.7</v>
      </c>
      <c r="L4">
        <f t="shared" si="1"/>
        <v>859</v>
      </c>
    </row>
    <row r="5" spans="1:12" x14ac:dyDescent="0.25">
      <c r="A5">
        <v>4</v>
      </c>
      <c r="B5" t="s">
        <v>8</v>
      </c>
      <c r="C5">
        <f>Jun!C5</f>
        <v>56.7</v>
      </c>
      <c r="D5">
        <f>Jul!C5</f>
        <v>272.8</v>
      </c>
      <c r="E5">
        <f>Aug!C5</f>
        <v>117.5</v>
      </c>
      <c r="F5">
        <f>Sep!C5</f>
        <v>376.3</v>
      </c>
      <c r="G5">
        <f t="shared" si="0"/>
        <v>823.3</v>
      </c>
      <c r="H5">
        <f>Jun!D5</f>
        <v>139.5</v>
      </c>
      <c r="I5">
        <f>Jul!D5</f>
        <v>284.7</v>
      </c>
      <c r="J5">
        <f>Aug!D5</f>
        <v>247.7</v>
      </c>
      <c r="K5">
        <f>Sep!D5</f>
        <v>198.7</v>
      </c>
      <c r="L5">
        <f t="shared" si="1"/>
        <v>870.59999999999991</v>
      </c>
    </row>
    <row r="6" spans="1:12" x14ac:dyDescent="0.25">
      <c r="A6">
        <v>5</v>
      </c>
      <c r="B6" t="s">
        <v>9</v>
      </c>
      <c r="C6">
        <f>Jun!C6</f>
        <v>19.2</v>
      </c>
      <c r="D6">
        <f>Jul!C6</f>
        <v>196.7</v>
      </c>
      <c r="E6">
        <f>Aug!C6</f>
        <v>106.1</v>
      </c>
      <c r="F6">
        <f>Sep!C6</f>
        <v>447</v>
      </c>
      <c r="G6">
        <f t="shared" si="0"/>
        <v>769</v>
      </c>
      <c r="H6">
        <f>Jun!D6</f>
        <v>165.6</v>
      </c>
      <c r="I6">
        <f>Jul!D6</f>
        <v>329.1</v>
      </c>
      <c r="J6">
        <f>Aug!D6</f>
        <v>273.8</v>
      </c>
      <c r="K6">
        <f>Sep!D6</f>
        <v>241</v>
      </c>
      <c r="L6">
        <f t="shared" si="1"/>
        <v>1009.5</v>
      </c>
    </row>
    <row r="7" spans="1:12" x14ac:dyDescent="0.25">
      <c r="A7">
        <v>6</v>
      </c>
      <c r="B7" t="s">
        <v>10</v>
      </c>
      <c r="C7">
        <f>Jun!C7</f>
        <v>83.9</v>
      </c>
      <c r="D7">
        <f>Jul!C7</f>
        <v>364.9</v>
      </c>
      <c r="E7">
        <f>Aug!C7</f>
        <v>225.9</v>
      </c>
      <c r="F7">
        <f>Sep!C7</f>
        <v>390.5</v>
      </c>
      <c r="G7">
        <f t="shared" si="0"/>
        <v>1065.1999999999998</v>
      </c>
      <c r="H7">
        <f>Jun!D7</f>
        <v>111.7</v>
      </c>
      <c r="I7">
        <f>Jul!D7</f>
        <v>286</v>
      </c>
      <c r="J7">
        <f>Aug!D7</f>
        <v>271.2</v>
      </c>
      <c r="K7">
        <f>Sep!D7</f>
        <v>221.3</v>
      </c>
      <c r="L7">
        <f t="shared" si="1"/>
        <v>890.2</v>
      </c>
    </row>
    <row r="8" spans="1:12" x14ac:dyDescent="0.25">
      <c r="A8">
        <v>7</v>
      </c>
      <c r="B8" t="s">
        <v>11</v>
      </c>
      <c r="C8">
        <f>Jun!C8</f>
        <v>71.099999999999994</v>
      </c>
      <c r="D8">
        <f>Jul!C8</f>
        <v>397.6</v>
      </c>
      <c r="E8">
        <f>Aug!C8</f>
        <v>102.4</v>
      </c>
      <c r="F8">
        <f>Sep!C8</f>
        <v>502.2</v>
      </c>
      <c r="G8">
        <f t="shared" si="0"/>
        <v>1073.3</v>
      </c>
      <c r="H8">
        <f>Jun!D8</f>
        <v>179.5</v>
      </c>
      <c r="I8">
        <f>Jul!D8</f>
        <v>310.7</v>
      </c>
      <c r="J8">
        <f>Aug!D8</f>
        <v>260.3</v>
      </c>
      <c r="K8">
        <f>Sep!D8</f>
        <v>219.7</v>
      </c>
      <c r="L8">
        <f t="shared" si="1"/>
        <v>970.2</v>
      </c>
    </row>
    <row r="9" spans="1:12" x14ac:dyDescent="0.25">
      <c r="A9">
        <v>8</v>
      </c>
      <c r="B9" t="s">
        <v>12</v>
      </c>
      <c r="C9">
        <f>Jun!C9</f>
        <v>32.6</v>
      </c>
      <c r="D9">
        <f>Jul!C9</f>
        <v>358.2</v>
      </c>
      <c r="E9">
        <f>Aug!C9</f>
        <v>84.7</v>
      </c>
      <c r="F9">
        <f>Sep!C9</f>
        <v>388.2</v>
      </c>
      <c r="G9">
        <f t="shared" si="0"/>
        <v>863.7</v>
      </c>
      <c r="H9">
        <f>Jun!D9</f>
        <v>116.4</v>
      </c>
      <c r="I9">
        <f>Jul!D9</f>
        <v>306.8</v>
      </c>
      <c r="J9">
        <f>Aug!D9</f>
        <v>258.89999999999998</v>
      </c>
      <c r="K9">
        <f>Sep!D9</f>
        <v>207.2</v>
      </c>
      <c r="L9">
        <f t="shared" si="1"/>
        <v>889.3</v>
      </c>
    </row>
    <row r="10" spans="1:12" x14ac:dyDescent="0.25">
      <c r="A10">
        <v>9</v>
      </c>
      <c r="B10" t="s">
        <v>13</v>
      </c>
      <c r="C10">
        <f>Jun!C10</f>
        <v>68.599999999999994</v>
      </c>
      <c r="D10">
        <f>Jul!C10</f>
        <v>465.7</v>
      </c>
      <c r="E10">
        <f>Aug!C10</f>
        <v>155.30000000000001</v>
      </c>
      <c r="F10">
        <f>Sep!C10</f>
        <v>394.6</v>
      </c>
      <c r="G10">
        <f t="shared" si="0"/>
        <v>1084.1999999999998</v>
      </c>
      <c r="H10">
        <f>Jun!D10</f>
        <v>110.6</v>
      </c>
      <c r="I10">
        <f>Jul!D10</f>
        <v>270.60000000000002</v>
      </c>
      <c r="J10">
        <f>Aug!D10</f>
        <v>232</v>
      </c>
      <c r="K10">
        <f>Sep!D10</f>
        <v>172.2</v>
      </c>
      <c r="L10">
        <f t="shared" si="1"/>
        <v>785.40000000000009</v>
      </c>
    </row>
    <row r="11" spans="1:12" x14ac:dyDescent="0.25">
      <c r="A11">
        <v>10</v>
      </c>
      <c r="B11" t="s">
        <v>14</v>
      </c>
      <c r="C11">
        <f>Jun!C11</f>
        <v>96</v>
      </c>
      <c r="D11">
        <f>Jul!C11</f>
        <v>416.4</v>
      </c>
      <c r="E11">
        <f>Aug!C11</f>
        <v>126.9</v>
      </c>
      <c r="F11">
        <f>Sep!C11</f>
        <v>337.5</v>
      </c>
      <c r="G11">
        <f t="shared" si="0"/>
        <v>976.8</v>
      </c>
      <c r="H11">
        <f>Jun!D11</f>
        <v>145.1</v>
      </c>
      <c r="I11">
        <f>Jul!D11</f>
        <v>313.2</v>
      </c>
      <c r="J11">
        <f>Aug!D11</f>
        <v>254.7</v>
      </c>
      <c r="K11">
        <f>Sep!D11</f>
        <v>186.6</v>
      </c>
      <c r="L11">
        <f t="shared" si="1"/>
        <v>899.6</v>
      </c>
    </row>
    <row r="12" spans="1:12" x14ac:dyDescent="0.25">
      <c r="A12">
        <v>11</v>
      </c>
      <c r="B12" t="s">
        <v>15</v>
      </c>
      <c r="C12">
        <f>Jun!C12</f>
        <v>95.3</v>
      </c>
      <c r="D12">
        <f>Jul!C12</f>
        <v>665.4</v>
      </c>
      <c r="E12">
        <f>Aug!C12</f>
        <v>54.1</v>
      </c>
      <c r="F12">
        <f>Sep!C12</f>
        <v>340.6</v>
      </c>
      <c r="G12">
        <f t="shared" si="0"/>
        <v>1155.4000000000001</v>
      </c>
      <c r="H12">
        <f>Jun!D12</f>
        <v>177.8</v>
      </c>
      <c r="I12">
        <f>Jul!D12</f>
        <v>364.3</v>
      </c>
      <c r="J12">
        <f>Aug!D12</f>
        <v>302</v>
      </c>
      <c r="K12">
        <f>Sep!D12</f>
        <v>211.1</v>
      </c>
      <c r="L12">
        <f t="shared" si="1"/>
        <v>1055.2</v>
      </c>
    </row>
    <row r="13" spans="1:12" x14ac:dyDescent="0.25">
      <c r="A13">
        <v>12</v>
      </c>
      <c r="B13" t="s">
        <v>16</v>
      </c>
      <c r="C13">
        <f>Jun!C13</f>
        <v>62.7</v>
      </c>
      <c r="D13">
        <f>Jul!C13</f>
        <v>201.7</v>
      </c>
      <c r="E13">
        <f>Aug!C13</f>
        <v>224.2</v>
      </c>
      <c r="F13">
        <f>Sep!C13</f>
        <v>360.4</v>
      </c>
      <c r="G13">
        <f t="shared" si="0"/>
        <v>849</v>
      </c>
      <c r="H13">
        <f>Jun!D13</f>
        <v>135.4</v>
      </c>
      <c r="I13">
        <f>Jul!D13</f>
        <v>276.60000000000002</v>
      </c>
      <c r="J13">
        <f>Aug!D13</f>
        <v>241.6</v>
      </c>
      <c r="K13">
        <f>Sep!D13</f>
        <v>174.7</v>
      </c>
      <c r="L13">
        <f t="shared" si="1"/>
        <v>828.3</v>
      </c>
    </row>
    <row r="14" spans="1:12" x14ac:dyDescent="0.25">
      <c r="A14">
        <v>13</v>
      </c>
      <c r="B14" t="s">
        <v>17</v>
      </c>
      <c r="C14">
        <f>Jun!C14</f>
        <v>145.80000000000001</v>
      </c>
      <c r="D14">
        <f>Jul!C14</f>
        <v>611.1</v>
      </c>
      <c r="E14">
        <f>Aug!C14</f>
        <v>126.7</v>
      </c>
      <c r="F14">
        <f>Sep!C14</f>
        <v>483.9</v>
      </c>
      <c r="G14">
        <f t="shared" si="0"/>
        <v>1367.5</v>
      </c>
      <c r="H14">
        <f>Jun!D14</f>
        <v>142.80000000000001</v>
      </c>
      <c r="I14">
        <f>Jul!D14</f>
        <v>336.3</v>
      </c>
      <c r="J14">
        <f>Aug!D14</f>
        <v>272.7</v>
      </c>
      <c r="K14">
        <f>Sep!D14</f>
        <v>216.8</v>
      </c>
      <c r="L14">
        <f t="shared" si="1"/>
        <v>968.59999999999991</v>
      </c>
    </row>
    <row r="15" spans="1:12" x14ac:dyDescent="0.25">
      <c r="A15">
        <v>14</v>
      </c>
      <c r="B15" t="s">
        <v>18</v>
      </c>
      <c r="C15">
        <f>Jun!C15</f>
        <v>45.6</v>
      </c>
      <c r="D15">
        <f>Jul!C15</f>
        <v>206.1</v>
      </c>
      <c r="E15">
        <f>Aug!C15</f>
        <v>191.5</v>
      </c>
      <c r="F15">
        <f>Sep!C15</f>
        <v>392.1</v>
      </c>
      <c r="G15">
        <f t="shared" si="0"/>
        <v>835.3</v>
      </c>
      <c r="H15">
        <f>Jun!D15</f>
        <v>125.2</v>
      </c>
      <c r="I15">
        <f>Jul!D15</f>
        <v>284.39999999999998</v>
      </c>
      <c r="J15">
        <f>Aug!D15</f>
        <v>238.2</v>
      </c>
      <c r="K15">
        <f>Sep!D15</f>
        <v>185.1</v>
      </c>
      <c r="L15">
        <f t="shared" si="1"/>
        <v>832.9</v>
      </c>
    </row>
    <row r="16" spans="1:12" x14ac:dyDescent="0.25">
      <c r="A16">
        <v>15</v>
      </c>
      <c r="B16" t="s">
        <v>19</v>
      </c>
      <c r="C16">
        <f>Jun!C16</f>
        <v>48.8</v>
      </c>
      <c r="D16">
        <f>Jul!C16</f>
        <v>324.2</v>
      </c>
      <c r="E16">
        <f>Aug!C16</f>
        <v>129.9</v>
      </c>
      <c r="F16">
        <f>Sep!C16</f>
        <v>309.7</v>
      </c>
      <c r="G16">
        <f t="shared" si="0"/>
        <v>812.59999999999991</v>
      </c>
      <c r="H16">
        <f>Jun!D16</f>
        <v>147.4</v>
      </c>
      <c r="I16">
        <f>Jul!D16</f>
        <v>319.39999999999998</v>
      </c>
      <c r="J16">
        <f>Aug!D16</f>
        <v>250.9</v>
      </c>
      <c r="K16">
        <f>Sep!D16</f>
        <v>218.7</v>
      </c>
      <c r="L16">
        <f t="shared" si="1"/>
        <v>936.39999999999986</v>
      </c>
    </row>
    <row r="17" spans="1:12" x14ac:dyDescent="0.25">
      <c r="A17">
        <v>16</v>
      </c>
      <c r="B17" t="s">
        <v>20</v>
      </c>
      <c r="C17">
        <f>Jun!C17</f>
        <v>114.8</v>
      </c>
      <c r="D17">
        <f>Jul!C17</f>
        <v>377.6</v>
      </c>
      <c r="E17">
        <f>Aug!C17</f>
        <v>121.5</v>
      </c>
      <c r="F17">
        <f>Sep!C17</f>
        <v>401.9</v>
      </c>
      <c r="G17">
        <f t="shared" si="0"/>
        <v>1015.8000000000001</v>
      </c>
      <c r="H17">
        <f>Jun!D17</f>
        <v>211.9</v>
      </c>
      <c r="I17">
        <f>Jul!D17</f>
        <v>349.2</v>
      </c>
      <c r="J17">
        <f>Aug!D17</f>
        <v>255.8</v>
      </c>
      <c r="K17">
        <f>Sep!D17</f>
        <v>262</v>
      </c>
      <c r="L17">
        <f t="shared" si="1"/>
        <v>1078.9000000000001</v>
      </c>
    </row>
    <row r="18" spans="1:12" x14ac:dyDescent="0.25">
      <c r="A18">
        <v>17</v>
      </c>
      <c r="B18" t="s">
        <v>21</v>
      </c>
      <c r="C18">
        <f>Jun!C18</f>
        <v>57.8</v>
      </c>
      <c r="D18">
        <f>Jul!C18</f>
        <v>395.6</v>
      </c>
      <c r="E18">
        <f>Aug!C18</f>
        <v>98.2</v>
      </c>
      <c r="F18">
        <f>Sep!C18</f>
        <v>423.9</v>
      </c>
      <c r="G18">
        <f t="shared" si="0"/>
        <v>975.5</v>
      </c>
      <c r="H18">
        <f>Jun!D18</f>
        <v>184.5</v>
      </c>
      <c r="I18">
        <f>Jul!D18</f>
        <v>309</v>
      </c>
      <c r="J18">
        <f>Aug!D18</f>
        <v>252.1</v>
      </c>
      <c r="K18">
        <f>Sep!D18</f>
        <v>225.7</v>
      </c>
      <c r="L18">
        <f t="shared" si="1"/>
        <v>971.3</v>
      </c>
    </row>
    <row r="19" spans="1:12" x14ac:dyDescent="0.25">
      <c r="A19">
        <v>18</v>
      </c>
      <c r="B19" t="s">
        <v>22</v>
      </c>
      <c r="C19">
        <f>Jun!C19</f>
        <v>250.7</v>
      </c>
      <c r="D19">
        <f>Jul!C19</f>
        <v>915.1</v>
      </c>
      <c r="E19">
        <f>Aug!C19</f>
        <v>187.1</v>
      </c>
      <c r="F19">
        <f>Sep!C19</f>
        <v>385.3</v>
      </c>
      <c r="G19">
        <f t="shared" si="0"/>
        <v>1738.1999999999998</v>
      </c>
      <c r="H19">
        <f>Jun!D19</f>
        <v>342.6</v>
      </c>
      <c r="I19">
        <f>Jul!D19</f>
        <v>597.4</v>
      </c>
      <c r="J19">
        <f>Aug!D19</f>
        <v>451.7</v>
      </c>
      <c r="K19">
        <f>Sep!D19</f>
        <v>354.5</v>
      </c>
      <c r="L19">
        <f t="shared" si="1"/>
        <v>1746.2</v>
      </c>
    </row>
    <row r="20" spans="1:12" x14ac:dyDescent="0.25">
      <c r="A20">
        <v>19</v>
      </c>
      <c r="B20" t="s">
        <v>23</v>
      </c>
      <c r="C20">
        <f>Jun!C20</f>
        <v>28.9</v>
      </c>
      <c r="D20">
        <f>Jul!C20</f>
        <v>297.89999999999998</v>
      </c>
      <c r="E20">
        <f>Aug!C20</f>
        <v>101.8</v>
      </c>
      <c r="F20">
        <f>Sep!C20</f>
        <v>282.5</v>
      </c>
      <c r="G20">
        <f t="shared" si="0"/>
        <v>711.09999999999991</v>
      </c>
      <c r="H20">
        <f>Jun!D20</f>
        <v>121.7</v>
      </c>
      <c r="I20">
        <f>Jul!D20</f>
        <v>305.3</v>
      </c>
      <c r="J20">
        <f>Aug!D20</f>
        <v>222.7</v>
      </c>
      <c r="K20">
        <f>Sep!D20</f>
        <v>200.6</v>
      </c>
      <c r="L20">
        <f t="shared" si="1"/>
        <v>850.30000000000007</v>
      </c>
    </row>
    <row r="21" spans="1:12" x14ac:dyDescent="0.25">
      <c r="A21">
        <v>20</v>
      </c>
      <c r="B21" t="s">
        <v>24</v>
      </c>
      <c r="C21">
        <f>Jun!C21</f>
        <v>168.6</v>
      </c>
      <c r="D21">
        <f>Jul!C21</f>
        <v>533.6</v>
      </c>
      <c r="E21">
        <f>Aug!C21</f>
        <v>95.5</v>
      </c>
      <c r="F21">
        <f>Sep!C21</f>
        <v>482.5</v>
      </c>
      <c r="G21">
        <f t="shared" si="0"/>
        <v>1280.2</v>
      </c>
      <c r="H21">
        <f>Jun!D21</f>
        <v>197.5</v>
      </c>
      <c r="I21">
        <f>Jul!D21</f>
        <v>332.8</v>
      </c>
      <c r="J21">
        <f>Aug!D21</f>
        <v>265.89999999999998</v>
      </c>
      <c r="K21">
        <f>Sep!D21</f>
        <v>250.1</v>
      </c>
      <c r="L21">
        <f t="shared" si="1"/>
        <v>1046.3</v>
      </c>
    </row>
    <row r="22" spans="1:12" x14ac:dyDescent="0.25">
      <c r="A22">
        <v>21</v>
      </c>
      <c r="B22" t="s">
        <v>25</v>
      </c>
      <c r="C22">
        <f>Jun!C22</f>
        <v>76.8</v>
      </c>
      <c r="D22">
        <f>Jul!C22</f>
        <v>468.2</v>
      </c>
      <c r="E22">
        <f>Aug!C22</f>
        <v>102</v>
      </c>
      <c r="F22">
        <f>Sep!C22</f>
        <v>361.2</v>
      </c>
      <c r="G22">
        <f t="shared" si="0"/>
        <v>1008.2</v>
      </c>
      <c r="H22">
        <f>Jun!D22</f>
        <v>169.2</v>
      </c>
      <c r="I22">
        <f>Jul!D22</f>
        <v>353.5</v>
      </c>
      <c r="J22">
        <f>Aug!D22</f>
        <v>268.5</v>
      </c>
      <c r="K22">
        <f>Sep!D22</f>
        <v>180.9</v>
      </c>
      <c r="L22">
        <f t="shared" si="1"/>
        <v>972.1</v>
      </c>
    </row>
    <row r="23" spans="1:12" x14ac:dyDescent="0.25">
      <c r="A23">
        <v>22</v>
      </c>
      <c r="B23" t="s">
        <v>26</v>
      </c>
      <c r="C23">
        <f>Jun!C23</f>
        <v>24.8</v>
      </c>
      <c r="D23">
        <f>Jul!C23</f>
        <v>401</v>
      </c>
      <c r="E23">
        <f>Aug!C23</f>
        <v>109.8</v>
      </c>
      <c r="F23">
        <f>Sep!C23</f>
        <v>312.60000000000002</v>
      </c>
      <c r="G23">
        <f t="shared" si="0"/>
        <v>848.2</v>
      </c>
      <c r="H23">
        <f>Jun!D23</f>
        <v>164</v>
      </c>
      <c r="I23">
        <f>Jul!D23</f>
        <v>353.9</v>
      </c>
      <c r="J23">
        <f>Aug!D23</f>
        <v>276.10000000000002</v>
      </c>
      <c r="K23">
        <f>Sep!D23</f>
        <v>225.9</v>
      </c>
      <c r="L23">
        <f t="shared" si="1"/>
        <v>1019.9</v>
      </c>
    </row>
    <row r="24" spans="1:12" x14ac:dyDescent="0.25">
      <c r="A24">
        <v>23</v>
      </c>
      <c r="B24" t="s">
        <v>27</v>
      </c>
      <c r="C24">
        <f>Jun!C24</f>
        <v>47.1</v>
      </c>
      <c r="D24">
        <f>Jul!C24</f>
        <v>549.4</v>
      </c>
      <c r="E24">
        <f>Aug!C24</f>
        <v>73.400000000000006</v>
      </c>
      <c r="F24">
        <f>Sep!C24</f>
        <v>406</v>
      </c>
      <c r="G24">
        <f t="shared" si="0"/>
        <v>1075.9000000000001</v>
      </c>
      <c r="H24">
        <f>Jun!D24</f>
        <v>157</v>
      </c>
      <c r="I24">
        <f>Jul!D24</f>
        <v>332.2</v>
      </c>
      <c r="J24">
        <f>Aug!D24</f>
        <v>261.89999999999998</v>
      </c>
      <c r="K24">
        <f>Sep!D24</f>
        <v>216.7</v>
      </c>
      <c r="L24">
        <f t="shared" si="1"/>
        <v>967.8</v>
      </c>
    </row>
    <row r="25" spans="1:12" x14ac:dyDescent="0.25">
      <c r="A25">
        <v>24</v>
      </c>
      <c r="B25" t="s">
        <v>28</v>
      </c>
      <c r="C25">
        <f>Jun!C25</f>
        <v>50.6</v>
      </c>
      <c r="D25">
        <f>Jul!C25</f>
        <v>255.8</v>
      </c>
      <c r="E25">
        <f>Aug!C25</f>
        <v>134.69999999999999</v>
      </c>
      <c r="F25">
        <f>Sep!C25</f>
        <v>514</v>
      </c>
      <c r="G25">
        <f t="shared" si="0"/>
        <v>955.1</v>
      </c>
      <c r="H25">
        <f>Jun!D25</f>
        <v>119.2</v>
      </c>
      <c r="I25">
        <f>Jul!D25</f>
        <v>304.3</v>
      </c>
      <c r="J25">
        <f>Aug!D25</f>
        <v>237.7</v>
      </c>
      <c r="K25">
        <f>Sep!D25</f>
        <v>191.6</v>
      </c>
      <c r="L25">
        <f t="shared" si="1"/>
        <v>852.80000000000007</v>
      </c>
    </row>
    <row r="26" spans="1:12" x14ac:dyDescent="0.25">
      <c r="A26">
        <v>25</v>
      </c>
      <c r="B26" t="s">
        <v>29</v>
      </c>
      <c r="C26">
        <f>Jun!C26</f>
        <v>40.700000000000003</v>
      </c>
      <c r="D26">
        <f>Jul!C26</f>
        <v>301.89999999999998</v>
      </c>
      <c r="E26">
        <f>Aug!C26</f>
        <v>165.8</v>
      </c>
      <c r="F26">
        <f>Sep!C26</f>
        <v>408.4</v>
      </c>
      <c r="G26">
        <f t="shared" si="0"/>
        <v>916.8</v>
      </c>
      <c r="H26">
        <f>Jun!D26</f>
        <v>124.3</v>
      </c>
      <c r="I26">
        <f>Jul!D26</f>
        <v>281.39999999999998</v>
      </c>
      <c r="J26">
        <f>Aug!D26</f>
        <v>242.4</v>
      </c>
      <c r="K26">
        <f>Sep!D26</f>
        <v>178.4</v>
      </c>
      <c r="L26">
        <f t="shared" si="1"/>
        <v>826.5</v>
      </c>
    </row>
    <row r="27" spans="1:12" x14ac:dyDescent="0.25">
      <c r="A27">
        <v>26</v>
      </c>
      <c r="B27" t="s">
        <v>30</v>
      </c>
      <c r="C27">
        <f>Jun!C27</f>
        <v>42.5</v>
      </c>
      <c r="D27">
        <f>Jul!C27</f>
        <v>278.7</v>
      </c>
      <c r="E27">
        <f>Aug!C27</f>
        <v>107.9</v>
      </c>
      <c r="F27">
        <f>Sep!C27</f>
        <v>431.2</v>
      </c>
      <c r="G27">
        <f t="shared" si="0"/>
        <v>860.3</v>
      </c>
      <c r="H27">
        <f>Jun!D27</f>
        <v>130.19999999999999</v>
      </c>
      <c r="I27">
        <f>Jul!D27</f>
        <v>315.60000000000002</v>
      </c>
      <c r="J27">
        <f>Aug!D27</f>
        <v>237.8</v>
      </c>
      <c r="K27">
        <f>Sep!D27</f>
        <v>203.3</v>
      </c>
      <c r="L27">
        <f t="shared" si="1"/>
        <v>886.90000000000009</v>
      </c>
    </row>
    <row r="28" spans="1:12" x14ac:dyDescent="0.25">
      <c r="A28">
        <v>27</v>
      </c>
      <c r="B28" t="s">
        <v>31</v>
      </c>
      <c r="C28">
        <f>Jun!C28</f>
        <v>251.5</v>
      </c>
      <c r="D28">
        <f>Jul!C28</f>
        <v>352.2</v>
      </c>
      <c r="E28">
        <f>Aug!C28</f>
        <v>193.6</v>
      </c>
      <c r="F28">
        <f>Sep!C28</f>
        <v>528.29999999999995</v>
      </c>
      <c r="G28">
        <f t="shared" si="0"/>
        <v>1325.6</v>
      </c>
      <c r="H28">
        <f>Jun!D28</f>
        <v>279.7</v>
      </c>
      <c r="I28">
        <f>Jul!D28</f>
        <v>476.3</v>
      </c>
      <c r="J28">
        <f>Aug!D28</f>
        <v>346.9</v>
      </c>
      <c r="K28">
        <f>Sep!D28</f>
        <v>308.89999999999998</v>
      </c>
      <c r="L28">
        <f t="shared" si="1"/>
        <v>1411.8000000000002</v>
      </c>
    </row>
    <row r="29" spans="1:12" x14ac:dyDescent="0.25">
      <c r="A29">
        <v>28</v>
      </c>
      <c r="B29" t="s">
        <v>32</v>
      </c>
      <c r="C29">
        <f>Jun!C29</f>
        <v>18.2</v>
      </c>
      <c r="D29">
        <f>Jul!C29</f>
        <v>213.9</v>
      </c>
      <c r="E29">
        <f>Aug!C29</f>
        <v>189.6</v>
      </c>
      <c r="F29">
        <f>Sep!C29</f>
        <v>360.3</v>
      </c>
      <c r="G29">
        <f t="shared" si="0"/>
        <v>782</v>
      </c>
      <c r="H29">
        <f>Jun!D29</f>
        <v>115.4</v>
      </c>
      <c r="I29">
        <f>Jul!D29</f>
        <v>288.8</v>
      </c>
      <c r="J29">
        <f>Aug!D29</f>
        <v>248</v>
      </c>
      <c r="K29">
        <f>Sep!D29</f>
        <v>190.1</v>
      </c>
      <c r="L29">
        <f t="shared" si="1"/>
        <v>842.30000000000007</v>
      </c>
    </row>
    <row r="30" spans="1:12" x14ac:dyDescent="0.25">
      <c r="A30">
        <v>29</v>
      </c>
      <c r="B30" t="s">
        <v>33</v>
      </c>
      <c r="C30">
        <f>Jun!C30</f>
        <v>93</v>
      </c>
      <c r="D30">
        <f>Jul!C30</f>
        <v>403.3</v>
      </c>
      <c r="E30">
        <f>Aug!C30</f>
        <v>155.19999999999999</v>
      </c>
      <c r="F30">
        <f>Sep!C30</f>
        <v>376.7</v>
      </c>
      <c r="G30">
        <f t="shared" si="0"/>
        <v>1028.2</v>
      </c>
      <c r="H30">
        <f>Jun!D30</f>
        <v>195.6</v>
      </c>
      <c r="I30">
        <f>Jul!D30</f>
        <v>375.3</v>
      </c>
      <c r="J30">
        <f>Aug!D30</f>
        <v>276</v>
      </c>
      <c r="K30">
        <f>Sep!D30</f>
        <v>236.4</v>
      </c>
      <c r="L30">
        <f t="shared" si="1"/>
        <v>1083.3</v>
      </c>
    </row>
    <row r="31" spans="1:12" x14ac:dyDescent="0.25">
      <c r="A31">
        <v>30</v>
      </c>
      <c r="B31" t="s">
        <v>34</v>
      </c>
      <c r="C31">
        <f>Jun!C31</f>
        <v>63.8</v>
      </c>
      <c r="D31">
        <f>Jul!C31</f>
        <v>406.4</v>
      </c>
      <c r="E31">
        <f>Aug!C31</f>
        <v>228</v>
      </c>
      <c r="F31">
        <f>Sep!C31</f>
        <v>606.4</v>
      </c>
      <c r="G31">
        <f t="shared" si="0"/>
        <v>1304.5999999999999</v>
      </c>
      <c r="H31">
        <f>Jun!D31</f>
        <v>158.4</v>
      </c>
      <c r="I31">
        <f>Jul!D31</f>
        <v>309.5</v>
      </c>
      <c r="J31">
        <f>Aug!D31</f>
        <v>254.8</v>
      </c>
      <c r="K31">
        <f>Sep!D31</f>
        <v>223</v>
      </c>
      <c r="L31">
        <f t="shared" si="1"/>
        <v>945.7</v>
      </c>
    </row>
    <row r="32" spans="1:12" x14ac:dyDescent="0.25">
      <c r="A32">
        <v>31</v>
      </c>
      <c r="B32" t="s">
        <v>35</v>
      </c>
      <c r="C32">
        <f>Jun!C32</f>
        <v>65.7</v>
      </c>
      <c r="D32">
        <f>Jul!C32</f>
        <v>480.8</v>
      </c>
      <c r="E32">
        <f>Aug!C32</f>
        <v>121.6</v>
      </c>
      <c r="F32">
        <f>Sep!C32</f>
        <v>315.2</v>
      </c>
      <c r="G32">
        <f t="shared" si="0"/>
        <v>983.3</v>
      </c>
      <c r="H32">
        <f>Jun!D32</f>
        <v>129.69999999999999</v>
      </c>
      <c r="I32">
        <f>Jul!D32</f>
        <v>315.89999999999998</v>
      </c>
      <c r="J32">
        <f>Aug!D32</f>
        <v>258</v>
      </c>
      <c r="K32">
        <f>Sep!D32</f>
        <v>195.8</v>
      </c>
      <c r="L32">
        <f t="shared" si="1"/>
        <v>899.39999999999986</v>
      </c>
    </row>
    <row r="33" spans="1:12" x14ac:dyDescent="0.25">
      <c r="A33">
        <v>32</v>
      </c>
      <c r="B33" t="s">
        <v>36</v>
      </c>
      <c r="C33">
        <f>Jun!C33</f>
        <v>9.4</v>
      </c>
      <c r="D33">
        <f>Jul!C33</f>
        <v>254.8</v>
      </c>
      <c r="E33">
        <f>Aug!C33</f>
        <v>102.4</v>
      </c>
      <c r="F33">
        <f>Sep!C33</f>
        <v>251.2</v>
      </c>
      <c r="G33">
        <f t="shared" si="0"/>
        <v>617.79999999999995</v>
      </c>
      <c r="H33">
        <f>Jun!D33</f>
        <v>130.1</v>
      </c>
      <c r="I33">
        <f>Jul!D33</f>
        <v>296.60000000000002</v>
      </c>
      <c r="J33">
        <f>Aug!D33</f>
        <v>209.6</v>
      </c>
      <c r="K33">
        <f>Sep!D33</f>
        <v>181.7</v>
      </c>
      <c r="L33">
        <f t="shared" si="1"/>
        <v>818</v>
      </c>
    </row>
    <row r="34" spans="1:12" x14ac:dyDescent="0.25">
      <c r="A34">
        <v>33</v>
      </c>
      <c r="B34" t="s">
        <v>37</v>
      </c>
      <c r="C34">
        <f>Jun!C34</f>
        <v>43.4</v>
      </c>
      <c r="D34">
        <f>Jul!C34</f>
        <v>595.79999999999995</v>
      </c>
      <c r="E34">
        <f>Aug!C34</f>
        <v>93.8</v>
      </c>
      <c r="F34">
        <f>Sep!C34</f>
        <v>280</v>
      </c>
      <c r="G34">
        <f t="shared" si="0"/>
        <v>1012.9999999999999</v>
      </c>
      <c r="H34">
        <f>Jun!D34</f>
        <v>179.1</v>
      </c>
      <c r="I34">
        <f>Jul!D34</f>
        <v>356.7</v>
      </c>
      <c r="J34">
        <f>Aug!D34</f>
        <v>266.89999999999998</v>
      </c>
      <c r="K34">
        <f>Sep!D34</f>
        <v>206</v>
      </c>
      <c r="L34">
        <f t="shared" si="1"/>
        <v>1008.6999999999999</v>
      </c>
    </row>
    <row r="35" spans="1:12" x14ac:dyDescent="0.25">
      <c r="A35">
        <v>34</v>
      </c>
      <c r="B35" t="s">
        <v>38</v>
      </c>
      <c r="C35">
        <f>Jun!C35</f>
        <v>96.2</v>
      </c>
      <c r="D35">
        <f>Jul!C35</f>
        <v>621.4</v>
      </c>
      <c r="E35">
        <f>Aug!C35</f>
        <v>56.5</v>
      </c>
      <c r="F35">
        <f>Sep!C35</f>
        <v>294.8</v>
      </c>
      <c r="G35">
        <f t="shared" si="0"/>
        <v>1068.9000000000001</v>
      </c>
      <c r="H35">
        <f>Jun!D35</f>
        <v>188.9</v>
      </c>
      <c r="I35">
        <f>Jul!D35</f>
        <v>375.5</v>
      </c>
      <c r="J35">
        <f>Aug!D35</f>
        <v>307.3</v>
      </c>
      <c r="K35">
        <f>Sep!D35</f>
        <v>188.6</v>
      </c>
      <c r="L35">
        <f t="shared" si="1"/>
        <v>1060.3</v>
      </c>
    </row>
    <row r="36" spans="1:12" x14ac:dyDescent="0.25">
      <c r="A36">
        <v>35</v>
      </c>
      <c r="B36" t="s">
        <v>39</v>
      </c>
      <c r="C36">
        <f>Jun!C36</f>
        <v>63.2</v>
      </c>
      <c r="D36">
        <f>Jul!C36</f>
        <v>714.2</v>
      </c>
      <c r="E36">
        <f>Aug!C36</f>
        <v>82.4</v>
      </c>
      <c r="F36">
        <f>Sep!C36</f>
        <v>413.5</v>
      </c>
      <c r="G36">
        <f t="shared" si="0"/>
        <v>1273.3000000000002</v>
      </c>
      <c r="H36">
        <f>Jun!D36</f>
        <v>130.80000000000001</v>
      </c>
      <c r="I36">
        <f>Jul!D36</f>
        <v>308.3</v>
      </c>
      <c r="J36">
        <f>Aug!D36</f>
        <v>249</v>
      </c>
      <c r="K36">
        <f>Sep!D36</f>
        <v>212.9</v>
      </c>
      <c r="L36">
        <f t="shared" si="1"/>
        <v>901</v>
      </c>
    </row>
    <row r="37" spans="1:12" x14ac:dyDescent="0.25">
      <c r="A37">
        <v>36</v>
      </c>
      <c r="B37" t="s">
        <v>40</v>
      </c>
      <c r="C37">
        <f>Jun!C37</f>
        <v>181.7</v>
      </c>
      <c r="D37">
        <f>Jul!C37</f>
        <v>501.7</v>
      </c>
      <c r="E37">
        <f>Aug!C37</f>
        <v>114.6</v>
      </c>
      <c r="F37">
        <f>Sep!C37</f>
        <v>491.2</v>
      </c>
      <c r="G37">
        <f t="shared" si="0"/>
        <v>1289.2</v>
      </c>
      <c r="H37">
        <f>Jun!D37</f>
        <v>203.4</v>
      </c>
      <c r="I37">
        <f>Jul!D37</f>
        <v>391.3</v>
      </c>
      <c r="J37">
        <f>Aug!D37</f>
        <v>262.5</v>
      </c>
      <c r="K37">
        <f>Sep!D37</f>
        <v>228.5</v>
      </c>
      <c r="L37">
        <f t="shared" si="1"/>
        <v>1085.7</v>
      </c>
    </row>
    <row r="38" spans="1:12" x14ac:dyDescent="0.25">
      <c r="A38">
        <v>37</v>
      </c>
      <c r="B38" t="s">
        <v>41</v>
      </c>
      <c r="C38">
        <f>Jun!C38</f>
        <v>44.3</v>
      </c>
      <c r="D38">
        <f>Jul!C38</f>
        <v>330.2</v>
      </c>
      <c r="E38">
        <f>Aug!C38</f>
        <v>132</v>
      </c>
      <c r="F38">
        <f>Sep!C38</f>
        <v>471.7</v>
      </c>
      <c r="G38">
        <f t="shared" si="0"/>
        <v>978.2</v>
      </c>
      <c r="H38">
        <f>Jun!D38</f>
        <v>126.1</v>
      </c>
      <c r="I38">
        <f>Jul!D38</f>
        <v>335.6</v>
      </c>
      <c r="J38">
        <f>Aug!D38</f>
        <v>244.3</v>
      </c>
      <c r="K38">
        <f>Sep!D38</f>
        <v>199.4</v>
      </c>
      <c r="L38">
        <f t="shared" si="1"/>
        <v>905.4</v>
      </c>
    </row>
    <row r="39" spans="1:12" x14ac:dyDescent="0.25">
      <c r="A39">
        <v>38</v>
      </c>
      <c r="B39" t="s">
        <v>42</v>
      </c>
      <c r="C39">
        <f>Jun!C39</f>
        <v>377.3</v>
      </c>
      <c r="D39">
        <f>Jul!C39</f>
        <v>641.9</v>
      </c>
      <c r="E39">
        <f>Aug!C39</f>
        <v>154</v>
      </c>
      <c r="F39">
        <f>Sep!C39</f>
        <v>260.89999999999998</v>
      </c>
      <c r="G39">
        <f t="shared" si="0"/>
        <v>1434.1</v>
      </c>
      <c r="H39">
        <f>Jun!D39</f>
        <v>200.8</v>
      </c>
      <c r="I39">
        <f>Jul!D39</f>
        <v>438.5</v>
      </c>
      <c r="J39">
        <f>Aug!D39</f>
        <v>355.8</v>
      </c>
      <c r="K39">
        <f>Sep!D39</f>
        <v>237.1</v>
      </c>
      <c r="L39">
        <f t="shared" si="1"/>
        <v>1232.1999999999998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Jun</vt:lpstr>
      <vt:lpstr>Jul</vt:lpstr>
      <vt:lpstr>Aug</vt:lpstr>
      <vt:lpstr>Sep</vt:lpstr>
      <vt:lpstr>Monsoon</vt:lpstr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SWFC_SEAT03</dc:creator>
  <cp:lastModifiedBy>SWFC_SEAT03</cp:lastModifiedBy>
  <dcterms:created xsi:type="dcterms:W3CDTF">2015-06-05T18:17:20Z</dcterms:created>
  <dcterms:modified xsi:type="dcterms:W3CDTF">2025-12-17T07:07:51Z</dcterms:modified>
</cp:coreProperties>
</file>